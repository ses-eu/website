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<sst xmlns="http://schemas.openxmlformats.org/spreadsheetml/2006/main" count="62" uniqueCount="57">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</sst>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46071.0</v>
      </c>
      <c r="C2" s="10" t="s">
        <v>7</v>
      </c>
      <c r="D2" s="11">
        <v>46053.0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31.0</v>
      </c>
      <c r="D4" s="22"/>
      <c r="E4" s="21">
        <v>31.0</v>
      </c>
      <c r="F4" s="22"/>
      <c r="G4" s="22"/>
      <c r="H4" s="21">
        <v>31.0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9235208</v>
      </c>
      <c r="C6" s="26">
        <f t="shared" ref="C6:C35" si="1">B6/C$4</f>
        <v>297909.9355</v>
      </c>
      <c r="D6" s="26">
        <f>sum(D7:D35)</f>
        <v>9760061</v>
      </c>
      <c r="E6" s="26">
        <f t="shared" ref="E6:E35" si="2">D6/E$4</f>
        <v>314840.6774</v>
      </c>
      <c r="F6" s="27">
        <f t="shared" ref="F6:F35" si="3">E6/C6-1</f>
        <v>0.05683174651</v>
      </c>
      <c r="G6" s="26">
        <f>sum(G7:G35)</f>
        <v>9363334</v>
      </c>
      <c r="H6" s="26">
        <f t="shared" ref="H6:H35" si="4">G6/H$4</f>
        <v>302043.0323</v>
      </c>
      <c r="I6" s="27">
        <f t="shared" ref="I6:I35" si="5">D6/G6-1</f>
        <v>0.0423702711</v>
      </c>
    </row>
    <row r="7" ht="12.75" customHeight="1">
      <c r="A7" s="25" t="s">
        <v>23</v>
      </c>
      <c r="B7" s="28">
        <v>294451.0</v>
      </c>
      <c r="C7" s="26">
        <f t="shared" si="1"/>
        <v>9498.419355</v>
      </c>
      <c r="D7" s="28">
        <v>320580.0</v>
      </c>
      <c r="E7" s="26">
        <f t="shared" si="2"/>
        <v>10341.29032</v>
      </c>
      <c r="F7" s="27">
        <f t="shared" si="3"/>
        <v>0.08873802432</v>
      </c>
      <c r="G7" s="28">
        <v>274120.0</v>
      </c>
      <c r="H7" s="26">
        <f t="shared" si="4"/>
        <v>8842.580645</v>
      </c>
      <c r="I7" s="27">
        <f t="shared" si="5"/>
        <v>0.1694878156</v>
      </c>
    </row>
    <row r="8" ht="12.75" customHeight="1">
      <c r="A8" s="25" t="s">
        <v>24</v>
      </c>
      <c r="B8" s="28">
        <v>193749.0</v>
      </c>
      <c r="C8" s="26">
        <f t="shared" si="1"/>
        <v>6249.967742</v>
      </c>
      <c r="D8" s="28">
        <v>195067.0</v>
      </c>
      <c r="E8" s="26">
        <f t="shared" si="2"/>
        <v>6292.483871</v>
      </c>
      <c r="F8" s="27">
        <f t="shared" si="3"/>
        <v>0.006802615755</v>
      </c>
      <c r="G8" s="28">
        <v>196934.0</v>
      </c>
      <c r="H8" s="26">
        <f t="shared" si="4"/>
        <v>6352.709677</v>
      </c>
      <c r="I8" s="27">
        <f t="shared" si="5"/>
        <v>-0.009480333513</v>
      </c>
    </row>
    <row r="9" ht="12.75" customHeight="1">
      <c r="A9" s="25" t="s">
        <v>25</v>
      </c>
      <c r="B9" s="28">
        <v>382355.0</v>
      </c>
      <c r="C9" s="26">
        <f t="shared" si="1"/>
        <v>12334.03226</v>
      </c>
      <c r="D9" s="28">
        <v>407265.0</v>
      </c>
      <c r="E9" s="26">
        <f t="shared" si="2"/>
        <v>13137.58065</v>
      </c>
      <c r="F9" s="27">
        <f t="shared" si="3"/>
        <v>0.06514887997</v>
      </c>
      <c r="G9" s="28">
        <v>384362.0</v>
      </c>
      <c r="H9" s="26">
        <f t="shared" si="4"/>
        <v>12398.77419</v>
      </c>
      <c r="I9" s="27">
        <f t="shared" si="5"/>
        <v>0.05958705595</v>
      </c>
    </row>
    <row r="10" ht="12.75" customHeight="1">
      <c r="A10" s="25" t="s">
        <v>26</v>
      </c>
      <c r="B10" s="28">
        <v>177691.0</v>
      </c>
      <c r="C10" s="26">
        <f t="shared" si="1"/>
        <v>5731.967742</v>
      </c>
      <c r="D10" s="28">
        <v>200565.0</v>
      </c>
      <c r="E10" s="26">
        <f t="shared" si="2"/>
        <v>6469.83871</v>
      </c>
      <c r="F10" s="27">
        <f t="shared" si="3"/>
        <v>0.1287290859</v>
      </c>
      <c r="G10" s="28">
        <v>175095.0</v>
      </c>
      <c r="H10" s="26">
        <f t="shared" si="4"/>
        <v>5648.225806</v>
      </c>
      <c r="I10" s="27">
        <f t="shared" si="5"/>
        <v>0.145463891</v>
      </c>
    </row>
    <row r="11" ht="12.75" customHeight="1">
      <c r="A11" s="25" t="s">
        <v>27</v>
      </c>
      <c r="B11" s="28">
        <v>142531.0</v>
      </c>
      <c r="C11" s="26">
        <f t="shared" si="1"/>
        <v>4597.774194</v>
      </c>
      <c r="D11" s="28">
        <v>194518.0</v>
      </c>
      <c r="E11" s="26">
        <f t="shared" si="2"/>
        <v>6274.774194</v>
      </c>
      <c r="F11" s="27">
        <f t="shared" si="3"/>
        <v>0.3647417053</v>
      </c>
      <c r="G11" s="28">
        <v>135337.0</v>
      </c>
      <c r="H11" s="26">
        <f t="shared" si="4"/>
        <v>4365.709677</v>
      </c>
      <c r="I11" s="27">
        <f t="shared" si="5"/>
        <v>0.4372861819</v>
      </c>
    </row>
    <row r="12" ht="12.75" customHeight="1">
      <c r="A12" s="25" t="s">
        <v>28</v>
      </c>
      <c r="B12" s="28">
        <v>158415.0</v>
      </c>
      <c r="C12" s="26">
        <f t="shared" si="1"/>
        <v>5110.16129</v>
      </c>
      <c r="D12" s="28">
        <v>166232.0</v>
      </c>
      <c r="E12" s="26">
        <f t="shared" si="2"/>
        <v>5362.322581</v>
      </c>
      <c r="F12" s="27">
        <f t="shared" si="3"/>
        <v>0.04934507465</v>
      </c>
      <c r="G12" s="28">
        <v>161898.0</v>
      </c>
      <c r="H12" s="26">
        <f t="shared" si="4"/>
        <v>5222.516129</v>
      </c>
      <c r="I12" s="27">
        <f t="shared" si="5"/>
        <v>0.02676994157</v>
      </c>
    </row>
    <row r="13" ht="12.75" customHeight="1">
      <c r="A13" s="25" t="s">
        <v>29</v>
      </c>
      <c r="B13" s="28">
        <v>113006.0</v>
      </c>
      <c r="C13" s="26">
        <f t="shared" si="1"/>
        <v>3645.354839</v>
      </c>
      <c r="D13" s="28">
        <v>113353.0</v>
      </c>
      <c r="E13" s="26">
        <f t="shared" si="2"/>
        <v>3656.548387</v>
      </c>
      <c r="F13" s="27">
        <f t="shared" si="3"/>
        <v>0.003070633418</v>
      </c>
      <c r="G13" s="28">
        <v>121997.0</v>
      </c>
      <c r="H13" s="26">
        <f t="shared" si="4"/>
        <v>3935.387097</v>
      </c>
      <c r="I13" s="27">
        <f t="shared" si="5"/>
        <v>-0.07085420133</v>
      </c>
    </row>
    <row r="14" ht="12.75" customHeight="1">
      <c r="A14" s="25" t="s">
        <v>30</v>
      </c>
      <c r="B14" s="28">
        <v>45264.0</v>
      </c>
      <c r="C14" s="26">
        <f t="shared" si="1"/>
        <v>1460.129032</v>
      </c>
      <c r="D14" s="28">
        <v>49588.0</v>
      </c>
      <c r="E14" s="26">
        <f t="shared" si="2"/>
        <v>1599.612903</v>
      </c>
      <c r="F14" s="27">
        <f t="shared" si="3"/>
        <v>0.09552845528</v>
      </c>
      <c r="G14" s="28">
        <v>43797.0</v>
      </c>
      <c r="H14" s="26">
        <f t="shared" si="4"/>
        <v>1412.806452</v>
      </c>
      <c r="I14" s="27">
        <f t="shared" si="5"/>
        <v>0.1322236683</v>
      </c>
    </row>
    <row r="15" ht="12.75" customHeight="1">
      <c r="A15" s="25" t="s">
        <v>31</v>
      </c>
      <c r="B15" s="28">
        <v>60005.0</v>
      </c>
      <c r="C15" s="26">
        <f t="shared" si="1"/>
        <v>1935.645161</v>
      </c>
      <c r="D15" s="28">
        <v>63803.0</v>
      </c>
      <c r="E15" s="26">
        <f t="shared" si="2"/>
        <v>2058.16129</v>
      </c>
      <c r="F15" s="27">
        <f t="shared" si="3"/>
        <v>0.06329472544</v>
      </c>
      <c r="G15" s="28">
        <v>73698.0</v>
      </c>
      <c r="H15" s="26">
        <f t="shared" si="4"/>
        <v>2377.354839</v>
      </c>
      <c r="I15" s="27">
        <f t="shared" si="5"/>
        <v>-0.1342641591</v>
      </c>
    </row>
    <row r="16" ht="12.75" customHeight="1">
      <c r="A16" s="25" t="s">
        <v>32</v>
      </c>
      <c r="B16" s="28">
        <v>1472343.0</v>
      </c>
      <c r="C16" s="26">
        <f t="shared" si="1"/>
        <v>47494.93548</v>
      </c>
      <c r="D16" s="28">
        <v>1527500.0</v>
      </c>
      <c r="E16" s="26">
        <f t="shared" si="2"/>
        <v>49274.19355</v>
      </c>
      <c r="F16" s="27">
        <f t="shared" si="3"/>
        <v>0.03746205877</v>
      </c>
      <c r="G16" s="28">
        <v>1468604.0</v>
      </c>
      <c r="H16" s="26">
        <f t="shared" si="4"/>
        <v>47374.32258</v>
      </c>
      <c r="I16" s="27">
        <f t="shared" si="5"/>
        <v>0.0401033907</v>
      </c>
    </row>
    <row r="17" ht="12.75" customHeight="1">
      <c r="A17" s="25" t="s">
        <v>33</v>
      </c>
      <c r="B17" s="28">
        <v>1015937.0</v>
      </c>
      <c r="C17" s="26">
        <f t="shared" si="1"/>
        <v>32772.16129</v>
      </c>
      <c r="D17" s="28">
        <v>1047306.0</v>
      </c>
      <c r="E17" s="26">
        <f t="shared" si="2"/>
        <v>33784.06452</v>
      </c>
      <c r="F17" s="27">
        <f t="shared" si="3"/>
        <v>0.03087691461</v>
      </c>
      <c r="G17" s="28">
        <v>1027269.0</v>
      </c>
      <c r="H17" s="26">
        <f t="shared" si="4"/>
        <v>33137.70968</v>
      </c>
      <c r="I17" s="27">
        <f t="shared" si="5"/>
        <v>0.01950511502</v>
      </c>
    </row>
    <row r="18" ht="12.75" customHeight="1">
      <c r="A18" s="25" t="s">
        <v>34</v>
      </c>
      <c r="B18" s="28">
        <v>478221.0</v>
      </c>
      <c r="C18" s="26">
        <f t="shared" si="1"/>
        <v>15426.48387</v>
      </c>
      <c r="D18" s="28">
        <v>580403.0</v>
      </c>
      <c r="E18" s="26">
        <f t="shared" si="2"/>
        <v>18722.67742</v>
      </c>
      <c r="F18" s="27">
        <f t="shared" si="3"/>
        <v>0.2136710851</v>
      </c>
      <c r="G18" s="28">
        <v>499121.0</v>
      </c>
      <c r="H18" s="26">
        <f t="shared" si="4"/>
        <v>16100.67742</v>
      </c>
      <c r="I18" s="27">
        <f t="shared" si="5"/>
        <v>0.1628502908</v>
      </c>
    </row>
    <row r="19" ht="12.75" customHeight="1">
      <c r="A19" s="25" t="s">
        <v>35</v>
      </c>
      <c r="B19" s="28">
        <v>297463.0</v>
      </c>
      <c r="C19" s="26">
        <f t="shared" si="1"/>
        <v>9595.580645</v>
      </c>
      <c r="D19" s="28">
        <v>317472.0</v>
      </c>
      <c r="E19" s="26">
        <f t="shared" si="2"/>
        <v>10241.03226</v>
      </c>
      <c r="F19" s="27">
        <f t="shared" si="3"/>
        <v>0.06726550865</v>
      </c>
      <c r="G19" s="28">
        <v>286456.0</v>
      </c>
      <c r="H19" s="26">
        <f t="shared" si="4"/>
        <v>9240.516129</v>
      </c>
      <c r="I19" s="27">
        <f t="shared" si="5"/>
        <v>0.1082749183</v>
      </c>
    </row>
    <row r="20" ht="12.75" customHeight="1">
      <c r="A20" s="25" t="s">
        <v>36</v>
      </c>
      <c r="B20" s="28">
        <v>336768.0</v>
      </c>
      <c r="C20" s="26">
        <f t="shared" si="1"/>
        <v>10863.48387</v>
      </c>
      <c r="D20" s="28">
        <v>340420.0</v>
      </c>
      <c r="E20" s="26">
        <f t="shared" si="2"/>
        <v>10981.29032</v>
      </c>
      <c r="F20" s="27">
        <f t="shared" si="3"/>
        <v>0.01084426074</v>
      </c>
      <c r="G20" s="28">
        <v>342479.0</v>
      </c>
      <c r="H20" s="26">
        <f t="shared" si="4"/>
        <v>11047.70968</v>
      </c>
      <c r="I20" s="27">
        <f t="shared" si="5"/>
        <v>-0.006012047454</v>
      </c>
    </row>
    <row r="21" ht="12.75" customHeight="1">
      <c r="A21" s="25" t="s">
        <v>37</v>
      </c>
      <c r="B21" s="28">
        <v>725882.0</v>
      </c>
      <c r="C21" s="26">
        <f t="shared" si="1"/>
        <v>23415.54839</v>
      </c>
      <c r="D21" s="28">
        <v>776284.0</v>
      </c>
      <c r="E21" s="26">
        <f t="shared" si="2"/>
        <v>25041.41935</v>
      </c>
      <c r="F21" s="27">
        <f t="shared" si="3"/>
        <v>0.06943552809</v>
      </c>
      <c r="G21" s="28">
        <v>756051.0</v>
      </c>
      <c r="H21" s="26">
        <f t="shared" si="4"/>
        <v>24388.74194</v>
      </c>
      <c r="I21" s="27">
        <f t="shared" si="5"/>
        <v>0.02676142218</v>
      </c>
    </row>
    <row r="22" ht="12.75" customHeight="1">
      <c r="A22" s="25" t="s">
        <v>38</v>
      </c>
      <c r="B22" s="28">
        <v>41911.0</v>
      </c>
      <c r="C22" s="26">
        <f t="shared" si="1"/>
        <v>1351.967742</v>
      </c>
      <c r="D22" s="28">
        <v>46333.0</v>
      </c>
      <c r="E22" s="26">
        <f t="shared" si="2"/>
        <v>1494.612903</v>
      </c>
      <c r="F22" s="27">
        <f t="shared" si="3"/>
        <v>0.1055092935</v>
      </c>
      <c r="G22" s="28">
        <v>44812.0</v>
      </c>
      <c r="H22" s="26">
        <f t="shared" si="4"/>
        <v>1445.548387</v>
      </c>
      <c r="I22" s="27">
        <f t="shared" si="5"/>
        <v>0.0339418013</v>
      </c>
    </row>
    <row r="23" ht="12.75" customHeight="1">
      <c r="A23" s="25" t="s">
        <v>39</v>
      </c>
      <c r="B23" s="28">
        <v>32454.0</v>
      </c>
      <c r="C23" s="26">
        <f t="shared" si="1"/>
        <v>1046.903226</v>
      </c>
      <c r="D23" s="28">
        <v>35687.0</v>
      </c>
      <c r="E23" s="26">
        <f t="shared" si="2"/>
        <v>1151.193548</v>
      </c>
      <c r="F23" s="27">
        <f t="shared" si="3"/>
        <v>0.09961792075</v>
      </c>
      <c r="G23" s="28">
        <v>32313.0</v>
      </c>
      <c r="H23" s="26">
        <f t="shared" si="4"/>
        <v>1042.354839</v>
      </c>
      <c r="I23" s="27">
        <f t="shared" si="5"/>
        <v>0.1044161792</v>
      </c>
    </row>
    <row r="24" ht="12.75" customHeight="1">
      <c r="A24" s="25" t="s">
        <v>40</v>
      </c>
      <c r="B24" s="28">
        <v>102808.0</v>
      </c>
      <c r="C24" s="26">
        <f t="shared" si="1"/>
        <v>3316.387097</v>
      </c>
      <c r="D24" s="28">
        <v>106985.0</v>
      </c>
      <c r="E24" s="26">
        <f t="shared" si="2"/>
        <v>3451.129032</v>
      </c>
      <c r="F24" s="27">
        <f t="shared" si="3"/>
        <v>0.04062913392</v>
      </c>
      <c r="G24" s="28">
        <v>96877.0</v>
      </c>
      <c r="H24" s="26">
        <f t="shared" si="4"/>
        <v>3125.064516</v>
      </c>
      <c r="I24" s="27">
        <f t="shared" si="5"/>
        <v>0.1043384911</v>
      </c>
    </row>
    <row r="25" ht="12.75" customHeight="1">
      <c r="A25" s="25" t="s">
        <v>41</v>
      </c>
      <c r="B25" s="28">
        <v>210013.0</v>
      </c>
      <c r="C25" s="26">
        <f t="shared" si="1"/>
        <v>6774.612903</v>
      </c>
      <c r="D25" s="28">
        <v>201523.0</v>
      </c>
      <c r="E25" s="26">
        <f t="shared" si="2"/>
        <v>6500.741935</v>
      </c>
      <c r="F25" s="27">
        <f t="shared" si="3"/>
        <v>-0.04042606886</v>
      </c>
      <c r="G25" s="28">
        <v>225934.0</v>
      </c>
      <c r="H25" s="26">
        <f t="shared" si="4"/>
        <v>7288.193548</v>
      </c>
      <c r="I25" s="27">
        <f t="shared" si="5"/>
        <v>-0.1080448273</v>
      </c>
    </row>
    <row r="26" ht="12.75" customHeight="1">
      <c r="A26" s="25" t="s">
        <v>42</v>
      </c>
      <c r="B26" s="28">
        <v>189527.0</v>
      </c>
      <c r="C26" s="26">
        <f t="shared" si="1"/>
        <v>6113.774194</v>
      </c>
      <c r="D26" s="28">
        <v>194726.0</v>
      </c>
      <c r="E26" s="26">
        <f t="shared" si="2"/>
        <v>6281.483871</v>
      </c>
      <c r="F26" s="27">
        <f t="shared" si="3"/>
        <v>0.02743144776</v>
      </c>
      <c r="G26" s="28">
        <v>196854.0</v>
      </c>
      <c r="H26" s="26">
        <f t="shared" si="4"/>
        <v>6350.129032</v>
      </c>
      <c r="I26" s="27">
        <f t="shared" si="5"/>
        <v>-0.01081004196</v>
      </c>
    </row>
    <row r="27" ht="12.75" customHeight="1">
      <c r="A27" s="25" t="s">
        <v>43</v>
      </c>
      <c r="B27" s="28">
        <v>267513.0</v>
      </c>
      <c r="C27" s="26">
        <f t="shared" si="1"/>
        <v>8629.451613</v>
      </c>
      <c r="D27" s="28">
        <v>278030.0</v>
      </c>
      <c r="E27" s="26">
        <f t="shared" si="2"/>
        <v>8968.709677</v>
      </c>
      <c r="F27" s="27">
        <f t="shared" si="3"/>
        <v>0.03931397726</v>
      </c>
      <c r="G27" s="28">
        <v>287970.0</v>
      </c>
      <c r="H27" s="26">
        <f t="shared" si="4"/>
        <v>9289.354839</v>
      </c>
      <c r="I27" s="27">
        <f t="shared" si="5"/>
        <v>-0.03451748446</v>
      </c>
    </row>
    <row r="28" ht="12.75" customHeight="1">
      <c r="A28" s="25" t="s">
        <v>44</v>
      </c>
      <c r="B28" s="28">
        <v>374029.0</v>
      </c>
      <c r="C28" s="26">
        <f t="shared" si="1"/>
        <v>12065.45161</v>
      </c>
      <c r="D28" s="28">
        <v>389907.0</v>
      </c>
      <c r="E28" s="26">
        <f t="shared" si="2"/>
        <v>12577.64516</v>
      </c>
      <c r="F28" s="27">
        <f t="shared" si="3"/>
        <v>0.04245125378</v>
      </c>
      <c r="G28" s="28">
        <v>373157.0</v>
      </c>
      <c r="H28" s="26">
        <f t="shared" si="4"/>
        <v>12037.32258</v>
      </c>
      <c r="I28" s="27">
        <f t="shared" si="5"/>
        <v>0.04488727265</v>
      </c>
    </row>
    <row r="29" ht="12.75" customHeight="1">
      <c r="A29" s="25" t="s">
        <v>45</v>
      </c>
      <c r="B29" s="28">
        <v>514078.0</v>
      </c>
      <c r="C29" s="26">
        <f t="shared" si="1"/>
        <v>16583.16129</v>
      </c>
      <c r="D29" s="28">
        <v>535090.0</v>
      </c>
      <c r="E29" s="26">
        <f t="shared" si="2"/>
        <v>17260.96774</v>
      </c>
      <c r="F29" s="27">
        <f t="shared" si="3"/>
        <v>0.04087317489</v>
      </c>
      <c r="G29" s="28">
        <v>516927.0</v>
      </c>
      <c r="H29" s="26">
        <f t="shared" si="4"/>
        <v>16675.06452</v>
      </c>
      <c r="I29" s="27">
        <f t="shared" si="5"/>
        <v>0.03513648929</v>
      </c>
    </row>
    <row r="30" ht="12.75" customHeight="1">
      <c r="A30" s="25" t="s">
        <v>46</v>
      </c>
      <c r="B30" s="28">
        <v>78903.0</v>
      </c>
      <c r="C30" s="26">
        <f t="shared" si="1"/>
        <v>2545.258065</v>
      </c>
      <c r="D30" s="28">
        <v>81819.0</v>
      </c>
      <c r="E30" s="26">
        <f t="shared" si="2"/>
        <v>2639.322581</v>
      </c>
      <c r="F30" s="27">
        <f t="shared" si="3"/>
        <v>0.0369567697</v>
      </c>
      <c r="G30" s="28">
        <v>89812.0</v>
      </c>
      <c r="H30" s="26">
        <f t="shared" si="4"/>
        <v>2897.16129</v>
      </c>
      <c r="I30" s="27">
        <f t="shared" si="5"/>
        <v>-0.08899701599</v>
      </c>
    </row>
    <row r="31" ht="12.75" customHeight="1">
      <c r="A31" s="25" t="s">
        <v>47</v>
      </c>
      <c r="B31" s="28">
        <v>44927.0</v>
      </c>
      <c r="C31" s="26">
        <f t="shared" si="1"/>
        <v>1449.258065</v>
      </c>
      <c r="D31" s="28">
        <v>54006.0</v>
      </c>
      <c r="E31" s="26">
        <f t="shared" si="2"/>
        <v>1742.129032</v>
      </c>
      <c r="F31" s="27">
        <f t="shared" si="3"/>
        <v>0.2020833797</v>
      </c>
      <c r="G31" s="28">
        <v>42216.0</v>
      </c>
      <c r="H31" s="26">
        <f t="shared" si="4"/>
        <v>1361.806452</v>
      </c>
      <c r="I31" s="27">
        <f t="shared" si="5"/>
        <v>0.2792779989</v>
      </c>
    </row>
    <row r="32" ht="12.75" customHeight="1">
      <c r="A32" s="25" t="s">
        <v>48</v>
      </c>
      <c r="B32" s="28">
        <v>200082.0</v>
      </c>
      <c r="C32" s="26">
        <f t="shared" si="1"/>
        <v>6454.258065</v>
      </c>
      <c r="D32" s="28">
        <v>211885.0</v>
      </c>
      <c r="E32" s="26">
        <f t="shared" si="2"/>
        <v>6835</v>
      </c>
      <c r="F32" s="27">
        <f t="shared" si="3"/>
        <v>0.05899081377</v>
      </c>
      <c r="G32" s="28">
        <v>196315.0</v>
      </c>
      <c r="H32" s="26">
        <f t="shared" si="4"/>
        <v>6332.741935</v>
      </c>
      <c r="I32" s="27">
        <f t="shared" si="5"/>
        <v>0.0793113109</v>
      </c>
    </row>
    <row r="33" ht="12.75" customHeight="1">
      <c r="A33" s="25" t="s">
        <v>49</v>
      </c>
      <c r="B33" s="28">
        <v>958999.0</v>
      </c>
      <c r="C33" s="26">
        <f t="shared" si="1"/>
        <v>30935.45161</v>
      </c>
      <c r="D33" s="28">
        <v>992317.0</v>
      </c>
      <c r="E33" s="26">
        <f t="shared" si="2"/>
        <v>32010.22581</v>
      </c>
      <c r="F33" s="27">
        <f t="shared" si="3"/>
        <v>0.03474247627</v>
      </c>
      <c r="G33" s="28">
        <v>956035.0</v>
      </c>
      <c r="H33" s="26">
        <f t="shared" si="4"/>
        <v>30839.83871</v>
      </c>
      <c r="I33" s="27">
        <f t="shared" si="5"/>
        <v>0.03795049344</v>
      </c>
    </row>
    <row r="34" ht="12.75" customHeight="1">
      <c r="A34" s="25" t="s">
        <v>50</v>
      </c>
      <c r="B34" s="28">
        <v>216496.0</v>
      </c>
      <c r="C34" s="26">
        <f t="shared" si="1"/>
        <v>6983.741935</v>
      </c>
      <c r="D34" s="28">
        <v>225141.0</v>
      </c>
      <c r="E34" s="26">
        <f t="shared" si="2"/>
        <v>7262.612903</v>
      </c>
      <c r="F34" s="27">
        <f t="shared" si="3"/>
        <v>0.0399314537</v>
      </c>
      <c r="G34" s="28">
        <v>235927.0</v>
      </c>
      <c r="H34" s="26">
        <f t="shared" si="4"/>
        <v>7610.548387</v>
      </c>
      <c r="I34" s="27">
        <f t="shared" si="5"/>
        <v>-0.04571753127</v>
      </c>
    </row>
    <row r="35" ht="12.75" customHeight="1">
      <c r="A35" s="25" t="s">
        <v>51</v>
      </c>
      <c r="B35" s="28">
        <v>109387.0</v>
      </c>
      <c r="C35" s="26">
        <f t="shared" si="1"/>
        <v>3528.612903</v>
      </c>
      <c r="D35" s="28">
        <v>106256.0</v>
      </c>
      <c r="E35" s="26">
        <f t="shared" si="2"/>
        <v>3427.612903</v>
      </c>
      <c r="F35" s="27">
        <f t="shared" si="3"/>
        <v>-0.02862314535</v>
      </c>
      <c r="G35" s="28">
        <v>120967.0</v>
      </c>
      <c r="H35" s="26">
        <f t="shared" si="4"/>
        <v>3902.16129</v>
      </c>
      <c r="I35" s="27">
        <f t="shared" si="5"/>
        <v>-0.1216116792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</sheetData>
  <drawing r:id="rId1"/>
</worksheet>
</file>