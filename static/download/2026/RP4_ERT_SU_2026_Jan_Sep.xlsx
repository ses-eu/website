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<sst xmlns="http://schemas.openxmlformats.org/spreadsheetml/2006/main" count="63" uniqueCount="57">
  <si>
    <t>Change date</t>
  </si>
  <si>
    <t>Data source</t>
  </si>
  <si>
    <t>Entity</t>
  </si>
  <si>
    <t>Period</t>
  </si>
  <si>
    <t>Comment</t>
  </si>
  <si>
    <t>EUROCONTROL</t>
  </si>
  <si>
    <t>Period Start</t>
  </si>
  <si>
    <t xml:space="preserve">      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</si>
  <si>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</si>
  <si>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</si>
  <si>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</si>
  <si>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</si>
  <si>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</si>
  <si>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</si>
  <si>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</si>
  <si>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</si>
  <si>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JAN-SEP</t>
  </si>
  <si>
    <t>SOURCE: CRCO</t>
  </si>
  <si>
    <t>En-route service units</t>
  </si>
  <si>
    <t>Actual [2025]</t>
  </si>
  <si>
    <t>Daily ER SU [2025]</t>
  </si>
  <si>
    <t>Actual [2026]</t>
  </si>
  <si>
    <t>Daily ER SU [actual, 2026]</t>
  </si>
  <si>
    <t>26/25 (%)</t>
  </si>
  <si>
    <t>Det. [2026]</t>
  </si>
  <si>
    <t>Daily ER SU [2026]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</si>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</sst>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sz val="9.0"/>
      <color rgb="FFF3F3F3"/>
      <name val="Calibri"/>
    </font>
    <font>
      <b/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/>
      <bottom/>
    </border>
    <border>
      <left/>
      <right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2" fontId="1" numFmtId="0" xfId="0" applyAlignment="1" applyBorder="1" applyFill="1" applyFont="1">
      <alignment horizontal="center" shrinkToFit="0" wrapText="0"/>
    </xf>
    <xf borderId="2" fillId="3" fontId="2" numFmtId="0" xfId="0" applyAlignment="1" applyBorder="1" applyFill="1" applyFont="1">
      <alignment shrinkToFit="0" wrapText="0"/>
    </xf>
    <xf borderId="3" fillId="4" fontId="3" numFmtId="164" xfId="0" applyAlignment="1" applyBorder="1" applyFill="1" applyFont="1" applyNumberFormat="1">
      <alignment horizontal="left" readingOrder="0" shrinkToFit="0" vertical="bottom" wrapText="0"/>
    </xf>
    <xf borderId="0" fillId="4" fontId="4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0"/>
    </xf>
    <xf borderId="2" fillId="4" fontId="5" numFmtId="49" xfId="0" applyAlignment="1" applyBorder="1" applyFill="1" applyFont="1" applyNumberFormat="1">
      <alignment horizontal="left" readingOrder="0" shrinkToFit="0" vertical="bottom" wrapText="0"/>
    </xf>
    <xf borderId="0" fillId="4" fontId="4" numFmtId="0" xfId="0" applyAlignment="1" applyFill="1" applyFont="1">
      <alignment readingOrder="0" shrinkToFit="0" wrapText="1"/>
    </xf>
    <xf borderId="4" fillId="3" fontId="2" numFmtId="0" xfId="0" applyAlignment="1" applyBorder="1" applyFill="1" applyFont="1">
      <alignment shrinkToFit="0" vertical="bottom" wrapText="0"/>
    </xf>
    <xf borderId="0" fillId="4" fontId="5" numFmtId="164" xfId="0" applyAlignment="1" applyFill="1" applyFont="1" applyNumberFormat="1">
      <alignment horizontal="left" readingOrder="0" shrinkToFit="0" wrapText="0"/>
    </xf>
    <xf borderId="5" fillId="3" fontId="6" numFmtId="0" xfId="0" applyAlignment="1" applyBorder="1" applyFill="1" applyFont="1">
      <alignment horizontal="left" shrinkToFit="0" wrapText="0"/>
    </xf>
    <xf borderId="2" fillId="4" fontId="7" numFmtId="0" xfId="0" applyAlignment="1" applyBorder="1" applyFill="1" applyFont="1">
      <alignment horizontal="left" readingOrder="0" shrinkToFit="0" wrapText="0"/>
    </xf>
    <xf borderId="0" fillId="4" fontId="7" numFmtId="0" xfId="0" applyAlignment="1" applyFill="1" applyFont="1">
      <alignment horizontal="left" readingOrder="0" shrinkToFit="0" wrapText="0"/>
    </xf>
    <xf borderId="6" fillId="3" fontId="2" numFmtId="0" xfId="0" applyAlignment="1" applyBorder="1" applyFill="1" applyFont="1">
      <alignment shrinkToFit="0" wrapText="0"/>
    </xf>
    <xf borderId="6" fillId="0" fontId="8" numFmtId="165" xfId="0" applyAlignment="1" applyBorder="1" applyFont="1" applyNumberFormat="1">
      <alignment horizontal="left" readingOrder="0" vertical="bottom"/>
    </xf>
    <xf borderId="7" fillId="3" fontId="2" numFmtId="0" xfId="0" applyAlignment="1" applyBorder="1" applyFill="1" applyFont="1">
      <alignment shrinkToFit="0" vertical="bottom" wrapText="0"/>
    </xf>
    <xf borderId="8" fillId="4" fontId="5" numFmtId="166" xfId="0" applyAlignment="1" applyBorder="1" applyFill="1" applyFont="1" applyNumberFormat="1">
      <alignment horizontal="left" readingOrder="0" vertical="bottom"/>
    </xf>
    <xf borderId="6" fillId="3" fontId="6" numFmtId="0" xfId="0" applyAlignment="1" applyBorder="1" applyFill="1" applyFont="1">
      <alignment horizontal="left" shrinkToFit="0" wrapText="0"/>
    </xf>
    <xf borderId="6" fillId="4" fontId="9" numFmtId="0" xfId="0" applyAlignment="1" applyBorder="1" applyFill="1" applyFont="1">
      <alignment horizontal="left" readingOrder="0" shrinkToFit="0" wrapText="0"/>
    </xf>
    <xf borderId="0" fillId="4" fontId="10" numFmtId="167" xfId="0" applyAlignment="1" applyFill="1" applyFont="1" applyNumberFormat="1">
      <alignment horizontal="left" shrinkToFit="0" wrapText="0"/>
    </xf>
    <xf borderId="0" fillId="4" fontId="11" numFmtId="0" xfId="0" applyAlignment="1" applyFill="1" applyFont="1">
      <alignment horizontal="left" readingOrder="0" shrinkToFit="0" wrapText="0"/>
    </xf>
    <xf borderId="2" fillId="4" fontId="12" numFmtId="0" xfId="0" applyAlignment="1" applyBorder="1" applyFill="1" applyFont="1">
      <alignment shrinkToFit="0" wrapText="1"/>
    </xf>
    <xf borderId="2" fillId="4" fontId="12" numFmtId="0" xfId="0" applyAlignment="1" applyBorder="1" applyFill="1" applyFont="1">
      <alignment readingOrder="0" shrinkToFit="0" wrapText="1"/>
    </xf>
    <xf borderId="0" fillId="4" fontId="12" numFmtId="0" xfId="0" applyAlignment="1" applyFill="1" applyFont="1">
      <alignment shrinkToFit="0" wrapText="1"/>
    </xf>
    <xf borderId="0" fillId="4" fontId="12" numFmtId="0" xfId="0" applyAlignment="1" applyFill="1" applyFont="1">
      <alignment readingOrder="0" shrinkToFit="0" wrapText="1"/>
    </xf>
    <xf borderId="9" fillId="4" fontId="13" numFmtId="0" xfId="0" applyAlignment="1" applyBorder="1" applyFill="1" applyFont="1">
      <alignment horizontal="left" readingOrder="0" shrinkToFit="0" vertical="center" wrapText="0"/>
    </xf>
    <xf borderId="9" fillId="4" fontId="13" numFmtId="0" xfId="0" applyAlignment="1" applyBorder="1" applyFill="1" applyFont="1">
      <alignment horizontal="center" readingOrder="0" shrinkToFit="0" vertical="center" wrapText="0"/>
    </xf>
    <xf borderId="9" fillId="4" fontId="13" numFmtId="0" xfId="0" applyAlignment="1" applyBorder="1" applyFill="1" applyFont="1">
      <alignment horizontal="center" shrinkToFit="0" vertical="center" wrapText="0"/>
    </xf>
    <xf borderId="9" fillId="2" fontId="14" numFmtId="0" xfId="0" applyAlignment="1" applyBorder="1" applyFill="1" applyFont="1">
      <alignment horizontal="center" readingOrder="0" shrinkToFit="0" vertical="center" wrapText="1"/>
    </xf>
    <xf borderId="9" fillId="2" fontId="14" numFmtId="49" xfId="0" applyAlignment="1" applyBorder="1" applyFill="1" applyFont="1" applyNumberFormat="1">
      <alignment horizontal="center" readingOrder="0" shrinkToFit="0" vertical="center" wrapText="1"/>
    </xf>
    <xf borderId="9" fillId="4" fontId="4" numFmtId="0" xfId="0" applyAlignment="1" applyBorder="1" applyFill="1" applyFont="1">
      <alignment readingOrder="0" shrinkToFit="0" vertical="center" wrapText="0"/>
    </xf>
    <xf borderId="9" fillId="5" fontId="4" numFmtId="3" xfId="0" applyAlignment="1" applyBorder="1" applyFill="1" applyFont="1" applyNumberFormat="1">
      <alignment horizontal="right" readingOrder="0" shrinkToFit="0" vertical="center" wrapText="0"/>
    </xf>
    <xf borderId="9" fillId="5" fontId="12" numFmtId="168" xfId="0" applyAlignment="1" applyBorder="1" applyFill="1" applyFont="1" applyNumberFormat="1">
      <alignment horizontal="right" shrinkToFit="0" wrapText="1"/>
    </xf>
    <xf borderId="9" fillId="4" fontId="4" numFmtId="3" xfId="0" applyAlignment="1" applyBorder="1" applyFill="1" applyFont="1" applyNumberFormat="1">
      <alignment horizontal="right" readingOrder="0" shrinkToFit="0" wrapText="0"/>
    </xf>
    <xf borderId="0" fillId="4" fontId="4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3" t="s">
        <v>1</v>
      </c>
      <c r="B1" s="7" t="s">
        <v>5</v>
      </c>
      <c r="C1" s="9" t="s">
        <v>6</v>
      </c>
      <c r="D1" s="10">
        <v>45658.0</v>
      </c>
      <c r="E1" s="11" t="s">
        <v>8</v>
      </c>
      <c r="F1" s="12" t="s">
        <v>9</v>
      </c>
      <c r="G1" s="13" t="s">
        <v>10</v>
      </c>
      <c r="H1" s="13" t="s">
        <v>10</v>
      </c>
      <c r="I1" s="13" t="s">
        <v>10</v>
      </c>
    </row>
    <row r="2" ht="12.75" customHeight="1">
      <c r="A2" s="14" t="s">
        <v>11</v>
      </c>
      <c r="B2" s="15">
        <v>46311.0</v>
      </c>
      <c r="C2" s="16" t="s">
        <v>12</v>
      </c>
      <c r="D2" s="17">
        <v>46295.0</v>
      </c>
      <c r="E2" s="18" t="s">
        <v>13</v>
      </c>
      <c r="F2" s="19" t="s">
        <v>14</v>
      </c>
      <c r="G2" s="20"/>
      <c r="H2" s="21" t="s">
        <v>10</v>
      </c>
      <c r="I2" s="21" t="s">
        <v>15</v>
      </c>
    </row>
    <row r="3" ht="12.75" customHeight="1">
      <c r="A3" s="22"/>
      <c r="B3" s="22"/>
      <c r="C3" s="22"/>
      <c r="D3" s="23" t="s">
        <v>10</v>
      </c>
      <c r="E3" s="22"/>
      <c r="F3" s="23" t="s">
        <v>15</v>
      </c>
      <c r="G3" s="24"/>
      <c r="H3" s="25" t="s">
        <v>10</v>
      </c>
      <c r="I3" s="24"/>
    </row>
    <row r="4" ht="13.5" customHeight="1">
      <c r="A4" s="26" t="s">
        <v>16</v>
      </c>
      <c r="B4" s="27" t="s">
        <v>17</v>
      </c>
      <c r="C4" s="27">
        <v>273.0</v>
      </c>
      <c r="D4" s="28"/>
      <c r="E4" s="27">
        <v>273.0</v>
      </c>
      <c r="F4" s="28"/>
      <c r="G4" s="28"/>
      <c r="H4" s="27">
        <v>273.0</v>
      </c>
      <c r="I4" s="28"/>
    </row>
    <row r="5" ht="25.5" customHeight="1">
      <c r="A5" s="29" t="s">
        <v>18</v>
      </c>
      <c r="B5" s="29" t="s">
        <v>19</v>
      </c>
      <c r="C5" s="30" t="s">
        <v>20</v>
      </c>
      <c r="D5" s="29" t="s">
        <v>21</v>
      </c>
      <c r="E5" s="29" t="s">
        <v>22</v>
      </c>
      <c r="F5" s="29" t="s">
        <v>23</v>
      </c>
      <c r="G5" s="29" t="s">
        <v>24</v>
      </c>
      <c r="H5" s="29" t="s">
        <v>25</v>
      </c>
      <c r="I5" s="29" t="s">
        <v>26</v>
      </c>
    </row>
    <row r="6" ht="12.75" customHeight="1">
      <c r="A6" s="31" t="s">
        <v>27</v>
      </c>
      <c r="B6" s="32">
        <f>sum(B7:B35)</f>
        <v>105471546</v>
      </c>
      <c r="C6" s="32">
        <f t="shared" ref="C6:C35" si="1">B6/C$4</f>
        <v>386342.6593</v>
      </c>
      <c r="D6" s="32">
        <f>sum(D7:D35)</f>
        <v>107959692</v>
      </c>
      <c r="E6" s="32">
        <f t="shared" ref="E6:E35" si="2">D6/E$4</f>
        <v>395456.7473</v>
      </c>
      <c r="F6" s="33">
        <f t="shared" ref="F6:F35" si="3">E6/C6-1</f>
        <v>0.02359068483</v>
      </c>
      <c r="G6" s="32">
        <f>sum(G7:G35)</f>
        <v>106934227</v>
      </c>
      <c r="H6" s="32">
        <f t="shared" ref="H6:H35" si="4">G6/H$4</f>
        <v>391700.4652</v>
      </c>
      <c r="I6" s="33">
        <f t="shared" ref="I6:I35" si="5">D6/G6-1</f>
        <v>0.009589679832</v>
      </c>
    </row>
    <row r="7" ht="12.75" customHeight="1">
      <c r="A7" s="31" t="s">
        <v>28</v>
      </c>
      <c r="B7" s="34">
        <v>3433810.0</v>
      </c>
      <c r="C7" s="32">
        <f t="shared" si="1"/>
        <v>12578.05861</v>
      </c>
      <c r="D7" s="34">
        <v>3396176.0</v>
      </c>
      <c r="E7" s="32">
        <f t="shared" si="2"/>
        <v>12440.20513</v>
      </c>
      <c r="F7" s="33">
        <f t="shared" si="3"/>
        <v>-0.01095983761</v>
      </c>
      <c r="G7" s="34">
        <v>3196707.0</v>
      </c>
      <c r="H7" s="32">
        <f t="shared" si="4"/>
        <v>11709.54945</v>
      </c>
      <c r="I7" s="33">
        <f t="shared" si="5"/>
        <v>0.06239827422</v>
      </c>
    </row>
    <row r="8" ht="12.75" customHeight="1">
      <c r="A8" s="31" t="s">
        <v>29</v>
      </c>
      <c r="B8" s="34">
        <v>2071292.0</v>
      </c>
      <c r="C8" s="32">
        <f t="shared" si="1"/>
        <v>7587.150183</v>
      </c>
      <c r="D8" s="34">
        <v>1984568.0</v>
      </c>
      <c r="E8" s="32">
        <f t="shared" si="2"/>
        <v>7269.479853</v>
      </c>
      <c r="F8" s="33">
        <f t="shared" si="3"/>
        <v>-0.04186951912</v>
      </c>
      <c r="G8" s="34">
        <v>2105340.0</v>
      </c>
      <c r="H8" s="32">
        <f t="shared" si="4"/>
        <v>7711.868132</v>
      </c>
      <c r="I8" s="33">
        <f t="shared" si="5"/>
        <v>-0.05736460619</v>
      </c>
    </row>
    <row r="9" ht="12.75" customHeight="1">
      <c r="A9" s="31" t="s">
        <v>30</v>
      </c>
      <c r="B9" s="34">
        <v>4118124.0</v>
      </c>
      <c r="C9" s="32">
        <f t="shared" si="1"/>
        <v>15084.7033</v>
      </c>
      <c r="D9" s="34">
        <v>3640135.0</v>
      </c>
      <c r="E9" s="32">
        <f t="shared" si="2"/>
        <v>13333.82784</v>
      </c>
      <c r="F9" s="33">
        <f t="shared" si="3"/>
        <v>-0.1160695987</v>
      </c>
      <c r="G9" s="34">
        <v>4139734.0</v>
      </c>
      <c r="H9" s="32">
        <f t="shared" si="4"/>
        <v>15163.86081</v>
      </c>
      <c r="I9" s="33">
        <f t="shared" si="5"/>
        <v>-0.120683841</v>
      </c>
    </row>
    <row r="10" ht="12.75" customHeight="1">
      <c r="A10" s="31" t="s">
        <v>31</v>
      </c>
      <c r="B10" s="34">
        <v>2482896.0</v>
      </c>
      <c r="C10" s="32">
        <f t="shared" si="1"/>
        <v>9094.857143</v>
      </c>
      <c r="D10" s="34">
        <v>2703793.0</v>
      </c>
      <c r="E10" s="32">
        <f t="shared" si="2"/>
        <v>9904.003663</v>
      </c>
      <c r="F10" s="33">
        <f t="shared" si="3"/>
        <v>0.08896747991</v>
      </c>
      <c r="G10" s="34">
        <v>2446628.0</v>
      </c>
      <c r="H10" s="32">
        <f t="shared" si="4"/>
        <v>8962.007326</v>
      </c>
      <c r="I10" s="33">
        <f t="shared" si="5"/>
        <v>0.1051099718</v>
      </c>
    </row>
    <row r="11" ht="12.75" customHeight="1">
      <c r="A11" s="31" t="s">
        <v>32</v>
      </c>
      <c r="B11" s="34">
        <v>1556565.0</v>
      </c>
      <c r="C11" s="32">
        <f t="shared" si="1"/>
        <v>5701.703297</v>
      </c>
      <c r="D11" s="34">
        <v>1708660.0</v>
      </c>
      <c r="E11" s="32">
        <f t="shared" si="2"/>
        <v>6258.827839</v>
      </c>
      <c r="F11" s="33">
        <f t="shared" si="3"/>
        <v>0.09771194907</v>
      </c>
      <c r="G11" s="34">
        <v>1477998.0</v>
      </c>
      <c r="H11" s="32">
        <f t="shared" si="4"/>
        <v>5413.912088</v>
      </c>
      <c r="I11" s="33">
        <f t="shared" si="5"/>
        <v>0.1560638106</v>
      </c>
    </row>
    <row r="12" ht="12.75" customHeight="1">
      <c r="A12" s="31" t="s">
        <v>33</v>
      </c>
      <c r="B12" s="34">
        <v>1873252.0</v>
      </c>
      <c r="C12" s="32">
        <f t="shared" si="1"/>
        <v>6861.728938</v>
      </c>
      <c r="D12" s="34">
        <v>1913884.0</v>
      </c>
      <c r="E12" s="32">
        <f t="shared" si="2"/>
        <v>7010.564103</v>
      </c>
      <c r="F12" s="33">
        <f t="shared" si="3"/>
        <v>0.02169062144</v>
      </c>
      <c r="G12" s="34">
        <v>1914442.0</v>
      </c>
      <c r="H12" s="32">
        <f t="shared" si="4"/>
        <v>7012.608059</v>
      </c>
      <c r="I12" s="33">
        <f t="shared" si="5"/>
        <v>-0.0002914687413</v>
      </c>
    </row>
    <row r="13" ht="12.75" customHeight="1">
      <c r="A13" s="31" t="s">
        <v>34</v>
      </c>
      <c r="B13" s="34">
        <v>1180438.0</v>
      </c>
      <c r="C13" s="32">
        <f t="shared" si="1"/>
        <v>4323.948718</v>
      </c>
      <c r="D13" s="34">
        <v>1196943.0</v>
      </c>
      <c r="E13" s="32">
        <f t="shared" si="2"/>
        <v>4384.406593</v>
      </c>
      <c r="F13" s="33">
        <f t="shared" si="3"/>
        <v>0.01398209817</v>
      </c>
      <c r="G13" s="34">
        <v>1274358.0</v>
      </c>
      <c r="H13" s="32">
        <f t="shared" si="4"/>
        <v>4667.978022</v>
      </c>
      <c r="I13" s="33">
        <f t="shared" si="5"/>
        <v>-0.06074823558</v>
      </c>
    </row>
    <row r="14" ht="12.75" customHeight="1">
      <c r="A14" s="31" t="s">
        <v>35</v>
      </c>
      <c r="B14" s="34">
        <v>487496.0</v>
      </c>
      <c r="C14" s="32">
        <f t="shared" si="1"/>
        <v>1785.699634</v>
      </c>
      <c r="D14" s="34">
        <v>518921.0</v>
      </c>
      <c r="E14" s="32">
        <f t="shared" si="2"/>
        <v>1900.809524</v>
      </c>
      <c r="F14" s="33">
        <f t="shared" si="3"/>
        <v>0.06446206738</v>
      </c>
      <c r="G14" s="34">
        <v>471703.0</v>
      </c>
      <c r="H14" s="32">
        <f t="shared" si="4"/>
        <v>1727.849817</v>
      </c>
      <c r="I14" s="33">
        <f t="shared" si="5"/>
        <v>0.100101123</v>
      </c>
    </row>
    <row r="15" ht="12.75" customHeight="1">
      <c r="A15" s="31" t="s">
        <v>36</v>
      </c>
      <c r="B15" s="34">
        <v>500323.0</v>
      </c>
      <c r="C15" s="32">
        <f t="shared" si="1"/>
        <v>1832.684982</v>
      </c>
      <c r="D15" s="34">
        <v>537374.0</v>
      </c>
      <c r="E15" s="32">
        <f t="shared" si="2"/>
        <v>1968.40293</v>
      </c>
      <c r="F15" s="33">
        <f t="shared" si="3"/>
        <v>0.07405416101</v>
      </c>
      <c r="G15" s="34">
        <v>614491.0</v>
      </c>
      <c r="H15" s="32">
        <f t="shared" si="4"/>
        <v>2250.882784</v>
      </c>
      <c r="I15" s="33">
        <f t="shared" si="5"/>
        <v>-0.1254973629</v>
      </c>
    </row>
    <row r="16" ht="12.75" customHeight="1">
      <c r="A16" s="31" t="s">
        <v>37</v>
      </c>
      <c r="B16" s="34">
        <v>1.8108823E7</v>
      </c>
      <c r="C16" s="32">
        <f t="shared" si="1"/>
        <v>66332.68498</v>
      </c>
      <c r="D16" s="34">
        <v>1.8782309E7</v>
      </c>
      <c r="E16" s="32">
        <f t="shared" si="2"/>
        <v>68799.66667</v>
      </c>
      <c r="F16" s="33">
        <f t="shared" si="3"/>
        <v>0.03719104218</v>
      </c>
      <c r="G16" s="34">
        <v>1.8062839E7</v>
      </c>
      <c r="H16" s="32">
        <f t="shared" si="4"/>
        <v>66164.24542</v>
      </c>
      <c r="I16" s="33">
        <f t="shared" si="5"/>
        <v>0.03983150157</v>
      </c>
    </row>
    <row r="17" ht="12.75" customHeight="1">
      <c r="A17" s="31" t="s">
        <v>38</v>
      </c>
      <c r="B17" s="34">
        <v>1.1350303E7</v>
      </c>
      <c r="C17" s="32">
        <f t="shared" si="1"/>
        <v>41576.20147</v>
      </c>
      <c r="D17" s="34">
        <v>1.135235E7</v>
      </c>
      <c r="E17" s="32">
        <f t="shared" si="2"/>
        <v>41583.69963</v>
      </c>
      <c r="F17" s="33">
        <f t="shared" si="3"/>
        <v>0.0001803476083</v>
      </c>
      <c r="G17" s="34">
        <v>1.1476906E7</v>
      </c>
      <c r="H17" s="32">
        <f t="shared" si="4"/>
        <v>42039.94872</v>
      </c>
      <c r="I17" s="33">
        <f t="shared" si="5"/>
        <v>-0.01085275073</v>
      </c>
    </row>
    <row r="18" ht="12.75" customHeight="1">
      <c r="A18" s="31" t="s">
        <v>39</v>
      </c>
      <c r="B18" s="34">
        <v>6311926.0</v>
      </c>
      <c r="C18" s="32">
        <f t="shared" si="1"/>
        <v>23120.60806</v>
      </c>
      <c r="D18" s="34">
        <v>7144429.0</v>
      </c>
      <c r="E18" s="32">
        <f t="shared" si="2"/>
        <v>26170.0696</v>
      </c>
      <c r="F18" s="33">
        <f t="shared" si="3"/>
        <v>0.1318936565</v>
      </c>
      <c r="G18" s="34">
        <v>6587785.0</v>
      </c>
      <c r="H18" s="32">
        <f t="shared" si="4"/>
        <v>24131.08059</v>
      </c>
      <c r="I18" s="33">
        <f t="shared" si="5"/>
        <v>0.08449638232</v>
      </c>
    </row>
    <row r="19" ht="12.75" customHeight="1">
      <c r="A19" s="31" t="s">
        <v>40</v>
      </c>
      <c r="B19" s="34">
        <v>3285414.0</v>
      </c>
      <c r="C19" s="32">
        <f t="shared" si="1"/>
        <v>12034.48352</v>
      </c>
      <c r="D19" s="34">
        <v>3080963.0</v>
      </c>
      <c r="E19" s="32">
        <f t="shared" si="2"/>
        <v>11285.57875</v>
      </c>
      <c r="F19" s="33">
        <f t="shared" si="3"/>
        <v>-0.06222990466</v>
      </c>
      <c r="G19" s="34">
        <v>3163841.0</v>
      </c>
      <c r="H19" s="32">
        <f t="shared" si="4"/>
        <v>11589.16117</v>
      </c>
      <c r="I19" s="33">
        <f t="shared" si="5"/>
        <v>-0.02619537455</v>
      </c>
    </row>
    <row r="20" ht="12.75" customHeight="1">
      <c r="A20" s="31" t="s">
        <v>41</v>
      </c>
      <c r="B20" s="34">
        <v>3947726.0</v>
      </c>
      <c r="C20" s="32">
        <f t="shared" si="1"/>
        <v>14460.5348</v>
      </c>
      <c r="D20" s="34">
        <v>3910767.0</v>
      </c>
      <c r="E20" s="32">
        <f t="shared" si="2"/>
        <v>14325.15385</v>
      </c>
      <c r="F20" s="33">
        <f t="shared" si="3"/>
        <v>-0.009362098585</v>
      </c>
      <c r="G20" s="34">
        <v>4014671.0</v>
      </c>
      <c r="H20" s="32">
        <f t="shared" si="4"/>
        <v>14705.75458</v>
      </c>
      <c r="I20" s="33">
        <f t="shared" si="5"/>
        <v>-0.02588107469</v>
      </c>
    </row>
    <row r="21" ht="12.75" customHeight="1">
      <c r="A21" s="31" t="s">
        <v>42</v>
      </c>
      <c r="B21" s="34">
        <v>9619390.0</v>
      </c>
      <c r="C21" s="32">
        <f t="shared" si="1"/>
        <v>35235.86081</v>
      </c>
      <c r="D21" s="34">
        <v>1.0309608E7</v>
      </c>
      <c r="E21" s="32">
        <f t="shared" si="2"/>
        <v>37764.13187</v>
      </c>
      <c r="F21" s="33">
        <f t="shared" si="3"/>
        <v>0.07175278266</v>
      </c>
      <c r="G21" s="34">
        <v>1.0019197E7</v>
      </c>
      <c r="H21" s="32">
        <f t="shared" si="4"/>
        <v>36700.35531</v>
      </c>
      <c r="I21" s="33">
        <f t="shared" si="5"/>
        <v>0.02898545662</v>
      </c>
    </row>
    <row r="22" ht="12.75" customHeight="1">
      <c r="A22" s="31" t="s">
        <v>43</v>
      </c>
      <c r="B22" s="34">
        <v>466200.0</v>
      </c>
      <c r="C22" s="32">
        <f t="shared" si="1"/>
        <v>1707.692308</v>
      </c>
      <c r="D22" s="34">
        <v>496442.0</v>
      </c>
      <c r="E22" s="32">
        <f t="shared" si="2"/>
        <v>1818.468864</v>
      </c>
      <c r="F22" s="33">
        <f t="shared" si="3"/>
        <v>0.06486915487</v>
      </c>
      <c r="G22" s="34">
        <v>498462.0</v>
      </c>
      <c r="H22" s="32">
        <f t="shared" si="4"/>
        <v>1825.868132</v>
      </c>
      <c r="I22" s="33">
        <f t="shared" si="5"/>
        <v>-0.004052465384</v>
      </c>
    </row>
    <row r="23" ht="12.75" customHeight="1">
      <c r="A23" s="31" t="s">
        <v>44</v>
      </c>
      <c r="B23" s="34">
        <v>372866.0</v>
      </c>
      <c r="C23" s="32">
        <f t="shared" si="1"/>
        <v>1365.809524</v>
      </c>
      <c r="D23" s="34">
        <v>394451.0</v>
      </c>
      <c r="E23" s="32">
        <f t="shared" si="2"/>
        <v>1444.875458</v>
      </c>
      <c r="F23" s="33">
        <f t="shared" si="3"/>
        <v>0.05788942945</v>
      </c>
      <c r="G23" s="34">
        <v>371241.0</v>
      </c>
      <c r="H23" s="32">
        <f t="shared" si="4"/>
        <v>1359.857143</v>
      </c>
      <c r="I23" s="33">
        <f t="shared" si="5"/>
        <v>0.06252003416</v>
      </c>
    </row>
    <row r="24" ht="12.75" customHeight="1">
      <c r="A24" s="31" t="s">
        <v>45</v>
      </c>
      <c r="B24" s="34">
        <v>961629.0</v>
      </c>
      <c r="C24" s="32">
        <f t="shared" si="1"/>
        <v>3522.450549</v>
      </c>
      <c r="D24" s="34">
        <v>869149.0</v>
      </c>
      <c r="E24" s="32">
        <f t="shared" si="2"/>
        <v>3183.695971</v>
      </c>
      <c r="F24" s="33">
        <f t="shared" si="3"/>
        <v>-0.09617014462</v>
      </c>
      <c r="G24" s="34">
        <v>906154.0</v>
      </c>
      <c r="H24" s="32">
        <f t="shared" si="4"/>
        <v>3319.245421</v>
      </c>
      <c r="I24" s="33">
        <f t="shared" si="5"/>
        <v>-0.0408374294</v>
      </c>
    </row>
    <row r="25" ht="12.75" customHeight="1">
      <c r="A25" s="31" t="s">
        <v>46</v>
      </c>
      <c r="B25" s="34">
        <v>2197053.0</v>
      </c>
      <c r="C25" s="32">
        <f t="shared" si="1"/>
        <v>8047.813187</v>
      </c>
      <c r="D25" s="34">
        <v>2234402.0</v>
      </c>
      <c r="E25" s="32">
        <f t="shared" si="2"/>
        <v>8184.622711</v>
      </c>
      <c r="F25" s="33">
        <f t="shared" si="3"/>
        <v>0.01699958991</v>
      </c>
      <c r="G25" s="34">
        <v>2363614.0</v>
      </c>
      <c r="H25" s="32">
        <f t="shared" si="4"/>
        <v>8657.92674</v>
      </c>
      <c r="I25" s="33">
        <f t="shared" si="5"/>
        <v>-0.05466713262</v>
      </c>
    </row>
    <row r="26" ht="12.75" customHeight="1">
      <c r="A26" s="31" t="s">
        <v>47</v>
      </c>
      <c r="B26" s="34">
        <v>1872369.0</v>
      </c>
      <c r="C26" s="32">
        <f t="shared" si="1"/>
        <v>6858.494505</v>
      </c>
      <c r="D26" s="34">
        <v>1802792.0</v>
      </c>
      <c r="E26" s="32">
        <f t="shared" si="2"/>
        <v>6603.6337</v>
      </c>
      <c r="F26" s="33">
        <f t="shared" si="3"/>
        <v>-0.03715987607</v>
      </c>
      <c r="G26" s="34">
        <v>1944758.0</v>
      </c>
      <c r="H26" s="32">
        <f t="shared" si="4"/>
        <v>7123.655678</v>
      </c>
      <c r="I26" s="33">
        <f t="shared" si="5"/>
        <v>-0.07299931405</v>
      </c>
    </row>
    <row r="27" ht="12.75" customHeight="1">
      <c r="A27" s="31" t="s">
        <v>48</v>
      </c>
      <c r="B27" s="34">
        <v>2995882.0</v>
      </c>
      <c r="C27" s="32">
        <f t="shared" si="1"/>
        <v>10973.92674</v>
      </c>
      <c r="D27" s="34">
        <v>3131780.0</v>
      </c>
      <c r="E27" s="32">
        <f t="shared" si="2"/>
        <v>11471.72161</v>
      </c>
      <c r="F27" s="33">
        <f t="shared" si="3"/>
        <v>0.04536159969</v>
      </c>
      <c r="G27" s="34">
        <v>3224978.0</v>
      </c>
      <c r="H27" s="32">
        <f t="shared" si="4"/>
        <v>11813.10623</v>
      </c>
      <c r="I27" s="33">
        <f t="shared" si="5"/>
        <v>-0.02889880179</v>
      </c>
    </row>
    <row r="28" ht="12.75" customHeight="1">
      <c r="A28" s="31" t="s">
        <v>49</v>
      </c>
      <c r="B28" s="34">
        <v>3637161.0</v>
      </c>
      <c r="C28" s="32">
        <f t="shared" si="1"/>
        <v>13322.93407</v>
      </c>
      <c r="D28" s="34">
        <v>3721200.0</v>
      </c>
      <c r="E28" s="32">
        <f t="shared" si="2"/>
        <v>13630.76923</v>
      </c>
      <c r="F28" s="33">
        <f t="shared" si="3"/>
        <v>0.02310565851</v>
      </c>
      <c r="G28" s="34">
        <v>3628681.0</v>
      </c>
      <c r="H28" s="32">
        <f t="shared" si="4"/>
        <v>13291.87179</v>
      </c>
      <c r="I28" s="33">
        <f t="shared" si="5"/>
        <v>0.02549659229</v>
      </c>
    </row>
    <row r="29" ht="12.75" customHeight="1">
      <c r="A29" s="31" t="s">
        <v>50</v>
      </c>
      <c r="B29" s="34">
        <v>5184243.0</v>
      </c>
      <c r="C29" s="32">
        <f t="shared" si="1"/>
        <v>18989.9011</v>
      </c>
      <c r="D29" s="34">
        <v>4872540.0</v>
      </c>
      <c r="E29" s="32">
        <f t="shared" si="2"/>
        <v>17848.13187</v>
      </c>
      <c r="F29" s="33">
        <f t="shared" si="3"/>
        <v>-0.06012507516</v>
      </c>
      <c r="G29" s="34">
        <v>5212976.0</v>
      </c>
      <c r="H29" s="32">
        <f t="shared" si="4"/>
        <v>19095.15018</v>
      </c>
      <c r="I29" s="33">
        <f t="shared" si="5"/>
        <v>-0.0653054992</v>
      </c>
    </row>
    <row r="30" ht="12.75" customHeight="1">
      <c r="A30" s="31" t="s">
        <v>51</v>
      </c>
      <c r="B30" s="34">
        <v>908307.0</v>
      </c>
      <c r="C30" s="32">
        <f t="shared" si="1"/>
        <v>3327.131868</v>
      </c>
      <c r="D30" s="34">
        <v>954751.0</v>
      </c>
      <c r="E30" s="32">
        <f t="shared" si="2"/>
        <v>3497.25641</v>
      </c>
      <c r="F30" s="33">
        <f t="shared" si="3"/>
        <v>0.05113249155</v>
      </c>
      <c r="G30" s="34">
        <v>1033885.0</v>
      </c>
      <c r="H30" s="32">
        <f t="shared" si="4"/>
        <v>3787.124542</v>
      </c>
      <c r="I30" s="33">
        <f t="shared" si="5"/>
        <v>-0.07654042761</v>
      </c>
    </row>
    <row r="31" ht="12.75" customHeight="1">
      <c r="A31" s="31" t="s">
        <v>52</v>
      </c>
      <c r="B31" s="34">
        <v>610798.0</v>
      </c>
      <c r="C31" s="32">
        <f t="shared" si="1"/>
        <v>2237.355311</v>
      </c>
      <c r="D31" s="34">
        <v>682712.0</v>
      </c>
      <c r="E31" s="32">
        <f t="shared" si="2"/>
        <v>2500.776557</v>
      </c>
      <c r="F31" s="33">
        <f t="shared" si="3"/>
        <v>0.1177377791</v>
      </c>
      <c r="G31" s="34">
        <v>573936.0</v>
      </c>
      <c r="H31" s="32">
        <f t="shared" si="4"/>
        <v>2102.32967</v>
      </c>
      <c r="I31" s="33">
        <f t="shared" si="5"/>
        <v>0.1895263583</v>
      </c>
    </row>
    <row r="32" ht="12.75" customHeight="1">
      <c r="A32" s="31" t="s">
        <v>53</v>
      </c>
      <c r="B32" s="34">
        <v>1712722.0</v>
      </c>
      <c r="C32" s="32">
        <f t="shared" si="1"/>
        <v>6273.70696</v>
      </c>
      <c r="D32" s="34">
        <v>1805226.0</v>
      </c>
      <c r="E32" s="32">
        <f t="shared" si="2"/>
        <v>6612.549451</v>
      </c>
      <c r="F32" s="33">
        <f t="shared" si="3"/>
        <v>0.05400993273</v>
      </c>
      <c r="G32" s="34">
        <v>1680480.0</v>
      </c>
      <c r="H32" s="32">
        <f t="shared" si="4"/>
        <v>6155.604396</v>
      </c>
      <c r="I32" s="33">
        <f t="shared" si="5"/>
        <v>0.07423236218</v>
      </c>
    </row>
    <row r="33" ht="12.75" customHeight="1">
      <c r="A33" s="31" t="s">
        <v>54</v>
      </c>
      <c r="B33" s="34">
        <v>1.0712419E7</v>
      </c>
      <c r="C33" s="32">
        <f t="shared" si="1"/>
        <v>39239.63004</v>
      </c>
      <c r="D33" s="34">
        <v>1.1152119E7</v>
      </c>
      <c r="E33" s="32">
        <f t="shared" si="2"/>
        <v>40850.25275</v>
      </c>
      <c r="F33" s="33">
        <f t="shared" si="3"/>
        <v>0.04104581794</v>
      </c>
      <c r="G33" s="34">
        <v>1.0679318E7</v>
      </c>
      <c r="H33" s="32">
        <f t="shared" si="4"/>
        <v>39118.38095</v>
      </c>
      <c r="I33" s="33">
        <f t="shared" si="5"/>
        <v>0.0442725837</v>
      </c>
    </row>
    <row r="34" ht="12.75" customHeight="1">
      <c r="A34" s="31" t="s">
        <v>55</v>
      </c>
      <c r="B34" s="34">
        <v>2160246.0</v>
      </c>
      <c r="C34" s="32">
        <f t="shared" si="1"/>
        <v>7912.989011</v>
      </c>
      <c r="D34" s="34">
        <v>2247676.0</v>
      </c>
      <c r="E34" s="32">
        <f t="shared" si="2"/>
        <v>8233.245421</v>
      </c>
      <c r="F34" s="33">
        <f t="shared" si="3"/>
        <v>0.04047224251</v>
      </c>
      <c r="G34" s="34">
        <v>2354125.0</v>
      </c>
      <c r="H34" s="32">
        <f t="shared" si="4"/>
        <v>8623.168498</v>
      </c>
      <c r="I34" s="33">
        <f t="shared" si="5"/>
        <v>-0.04521807466</v>
      </c>
    </row>
    <row r="35" ht="12.75" customHeight="1">
      <c r="A35" s="31" t="s">
        <v>56</v>
      </c>
      <c r="B35" s="34">
        <v>1351873.0</v>
      </c>
      <c r="C35" s="32">
        <f t="shared" si="1"/>
        <v>4951.915751</v>
      </c>
      <c r="D35" s="34">
        <v>1413572.0</v>
      </c>
      <c r="E35" s="32">
        <f t="shared" si="2"/>
        <v>5177.919414</v>
      </c>
      <c r="F35" s="33">
        <f t="shared" si="3"/>
        <v>0.04563964219</v>
      </c>
      <c r="G35" s="34">
        <v>1494979.0</v>
      </c>
      <c r="H35" s="32">
        <f t="shared" si="4"/>
        <v>5476.113553</v>
      </c>
      <c r="I35" s="33">
        <f t="shared" si="5"/>
        <v>-0.05445360771</v>
      </c>
    </row>
    <row r="36" ht="12.75" customHeight="1">
      <c r="A36" s="35"/>
      <c r="B36" s="35"/>
      <c r="C36" s="35"/>
      <c r="D36" s="35"/>
      <c r="E36" s="35"/>
      <c r="F36" s="35"/>
      <c r="G36" s="35"/>
      <c r="H36" s="35"/>
      <c r="I36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1" t="s">
        <v>0</v>
      </c>
      <c r="B1" s="2" t="s">
        <v>2</v>
      </c>
      <c r="C1" s="2" t="s">
        <v>3</v>
      </c>
      <c r="D1" s="1" t="s">
        <v>4</v>
      </c>
    </row>
    <row r="2" ht="12.75" customHeight="1">
      <c r="A2" s="4"/>
      <c r="B2" s="5"/>
      <c r="C2" s="6"/>
      <c r="D2" s="8"/>
    </row>
    <row r="3" ht="12.0" customHeight="1">
      <c r="A3" s="4"/>
      <c r="B3" s="5"/>
      <c r="C3" s="6"/>
      <c r="D3" s="8" t="s">
        <v>7</v>
      </c>
    </row>
  </sheetData>
  <drawing r:id="rId1"/>
</worksheet>
</file>