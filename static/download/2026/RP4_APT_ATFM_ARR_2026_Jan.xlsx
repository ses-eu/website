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_ATFM_SES_YY" sheetId="1" r:id="rId4"/>
    <sheet state="visible" name="APT_ATFM_SES_MM" sheetId="2" r:id="rId5"/>
    <sheet state="visible" name="APT_ATFM_LOC" sheetId="3" r:id="rId6"/>
    <sheet state="visible" name="APT_ATFM_APT" sheetId="4" r:id="rId7"/>
    <sheet state="visible" name="Change Log" sheetId="5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<sst xmlns="http://schemas.openxmlformats.org/spreadsheetml/2006/main" count="780" uniqueCount="543">
  <si>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</si>
  <si>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</si>
  <si>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</si>
  <si>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</si>
  <si>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</si>
  <si>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</si>
  <si>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</si>
  <si>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</si>
  <si>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</si>
  <si>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</si>
  <si>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 xml:space="preserve">   </t>
  </si>
  <si>
    <t>Period: JAN</t>
  </si>
  <si>
    <t>SES AIRPORTS (RP4)</t>
  </si>
  <si>
    <t>Year</t>
  </si>
  <si>
    <t>Airport ATFM arrival delay [min./arr.]</t>
  </si>
  <si>
    <t>Arrivals</t>
  </si>
  <si>
    <t>Airport ATFM arrival delay [total min.]</t>
  </si>
  <si>
    <t xml:space="preserve">2019 </t>
  </si>
  <si>
    <t xml:space="preserve">2020 </t>
  </si>
  <si>
    <t xml:space="preserve">2021 </t>
  </si>
  <si>
    <t xml:space="preserve">2022 </t>
  </si>
  <si>
    <t xml:space="preserve">2023 </t>
  </si>
  <si>
    <t xml:space="preserve">2024 </t>
  </si>
  <si>
    <t>2025</t>
  </si>
  <si>
    <t>2026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</si>
  <si>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</si>
  <si>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</si>
  <si>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</si>
  <si>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</si>
  <si>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</si>
  <si>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</si>
  <si>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</si>
  <si>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</si>
  <si>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</si>
  <si>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</si>
  <si>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</si>
  <si>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</si>
  <si>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</si>
  <si>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</si>
  <si>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</si>
  <si>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</si>
  <si>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</si>
  <si>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</si>
  <si>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</si>
  <si>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</si>
  <si>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</si>
  <si>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</si>
  <si>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</si>
  <si>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</si>
  <si>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</si>
  <si>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</si>
  <si>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</si>
  <si>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</si>
  <si>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</si>
  <si>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</si>
  <si>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</si>
  <si>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</si>
  <si>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</si>
  <si>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</si>
  <si>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</si>
  <si>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</si>
  <si>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</si>
  <si>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</si>
  <si>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</si>
  <si>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</si>
  <si>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</si>
  <si>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</si>
  <si>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</si>
  <si>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</si>
  <si>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</si>
  <si>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</si>
  <si>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</si>
  <si>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</si>
  <si>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</si>
  <si>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</si>
  <si>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</si>
  <si>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</si>
  <si>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</si>
  <si>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</si>
  <si>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</si>
  <si>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</si>
  <si>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</si>
  <si>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</si>
  <si>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</si>
  <si>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</si>
  <si>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</si>
  <si>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</si>
  <si>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</si>
  <si>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</si>
  <si>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</si>
  <si>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</si>
  <si>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</si>
  <si>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</si>
  <si>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</si>
  <si>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</si>
  <si>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</si>
  <si>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</si>
  <si>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</si>
  <si>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</si>
  <si>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</si>
  <si>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</si>
  <si>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</si>
  <si>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</si>
  <si>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</si>
  <si>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</si>
  <si>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</si>
  <si>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</si>
  <si>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</si>
  <si>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</si>
  <si>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</si>
  <si>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</si>
  <si>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</si>
  <si>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</si>
  <si>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</si>
  <si>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</si>
  <si>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</si>
  <si>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</si>
  <si>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</si>
  <si>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</si>
  <si>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</si>
  <si>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</si>
  <si>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</si>
  <si>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</si>
  <si>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</si>
  <si>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State</t>
  </si>
  <si>
    <t>Valid airports</t>
  </si>
  <si>
    <t>Airport ATFM arr. delay</t>
  </si>
  <si>
    <t>Apt. ATFM dly [min./arr.]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</si>
  <si>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</si>
  <si>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</si>
  <si>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</si>
  <si>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</si>
  <si>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</si>
  <si>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</si>
  <si>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</si>
  <si>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</si>
  <si>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</si>
  <si>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</si>
  <si>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</si>
  <si>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</si>
  <si>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</si>
  <si>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</si>
  <si>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</si>
  <si>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</si>
  <si>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</si>
  <si>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</si>
  <si>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</si>
  <si>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</si>
  <si>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</si>
  <si>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 xml:space="preserve">    </t>
  </si>
  <si>
    <t>Apt. name</t>
  </si>
  <si>
    <t>ICAO</t>
  </si>
  <si>
    <t>FLTS [ARR]</t>
  </si>
  <si>
    <t>Airport ATFM arr. delay [total]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</si>
  <si>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</si>
  <si>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</si>
  <si>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</si>
  <si>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</si>
  <si>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</si>
  <si>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</si>
  <si>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</si>
  <si>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</si>
  <si>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</si>
  <si>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</si>
  <si>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</si>
  <si>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</si>
  <si>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</si>
  <si>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</si>
  <si>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</si>
  <si>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</si>
  <si>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</si>
  <si>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</si>
  <si>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</si>
  <si>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</si>
  <si>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</si>
  <si>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</si>
  <si>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</si>
  <si>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</si>
  <si>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</si>
  <si>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</si>
  <si>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</si>
  <si>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</si>
  <si>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</si>
  <si>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</si>
  <si>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</si>
  <si>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</si>
  <si>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</si>
  <si>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</si>
  <si>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</si>
  <si>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</si>
  <si>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</si>
  <si>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</si>
  <si>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</si>
  <si>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</si>
  <si>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</si>
  <si>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</si>
  <si>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</si>
  <si>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</si>
  <si>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</si>
  <si>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</si>
  <si>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</si>
  <si>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</si>
  <si>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</si>
  <si>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</si>
  <si>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</si>
  <si>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</si>
  <si>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</si>
  <si>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</si>
  <si>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</si>
  <si>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</si>
  <si>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</si>
  <si>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</si>
  <si>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</si>
  <si>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</si>
  <si>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</si>
  <si>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</si>
  <si>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</si>
  <si>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</si>
  <si>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</si>
  <si>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</si>
  <si>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</si>
  <si>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</si>
  <si>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</si>
  <si>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</si>
  <si>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</si>
  <si>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</si>
  <si>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</si>
  <si>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</si>
  <si>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</si>
  <si>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</si>
  <si>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</si>
  <si>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</si>
  <si>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</si>
  <si>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</si>
  <si>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</si>
  <si>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</si>
  <si>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</si>
  <si>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</si>
  <si>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</si>
  <si>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</si>
  <si>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</si>
  <si>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</si>
  <si>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</si>
  <si>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</si>
  <si>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</si>
  <si>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</si>
  <si>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</si>
  <si>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</si>
  <si>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</si>
  <si>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</si>
  <si>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</si>
  <si>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</si>
  <si>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</si>
  <si>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</si>
  <si>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</si>
  <si>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</si>
  <si>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</si>
  <si>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</si>
  <si>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</si>
  <si>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</si>
  <si>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</si>
  <si>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</si>
  <si>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</si>
  <si>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</si>
  <si>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</si>
  <si>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</si>
  <si>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</si>
  <si>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</si>
  <si>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</si>
  <si>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</si>
  <si>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</si>
  <si>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</si>
  <si>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</si>
  <si>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</si>
  <si>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</si>
  <si>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</si>
  <si>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</si>
  <si>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</si>
  <si>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</si>
  <si>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</si>
  <si>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</si>
  <si>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</si>
  <si>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</si>
  <si>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</si>
  <si>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</si>
  <si>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</si>
  <si>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</si>
  <si>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</si>
  <si>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</si>
  <si>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</si>
  <si>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</si>
  <si>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</si>
  <si>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</si>
  <si>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</si>
  <si>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</si>
  <si>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</si>
  <si>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</si>
  <si>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</si>
  <si>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</si>
  <si>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</si>
  <si>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</si>
  <si>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</si>
  <si>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</si>
  <si>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</si>
  <si>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</si>
  <si>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</si>
  <si>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</si>
  <si>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</si>
  <si>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</si>
  <si>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</si>
  <si>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</si>
  <si>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</si>
  <si>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</si>
  <si>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</si>
  <si>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</si>
  <si>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</si>
  <si>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</si>
  <si>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</si>
  <si>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</si>
  <si>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</si>
  <si>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</si>
  <si>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</si>
  <si>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</si>
  <si>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</si>
  <si>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</si>
  <si>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</si>
  <si>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</si>
  <si>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</si>
  <si>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</si>
  <si>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</si>
  <si>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</si>
  <si>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</si>
  <si>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</si>
  <si>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</si>
  <si>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</si>
  <si>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</si>
  <si>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</si>
  <si>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</si>
  <si>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</si>
  <si>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</si>
  <si>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</si>
  <si>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</si>
  <si>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</si>
  <si>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</si>
  <si>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</si>
  <si>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</si>
  <si>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</si>
  <si>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</si>
  <si>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</si>
  <si>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</si>
  <si>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</si>
  <si>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</si>
  <si>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</si>
  <si>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</si>
  <si>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</si>
  <si>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</si>
  <si>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</si>
  <si>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</si>
  <si>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</si>
  <si>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</si>
  <si>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</si>
  <si>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</si>
  <si>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</si>
  <si>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</si>
  <si>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</si>
  <si>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</si>
  <si>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</si>
  <si>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</si>
  <si>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</si>
  <si>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</si>
  <si>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</si>
  <si>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</si>
  <si>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</si>
  <si>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</si>
  <si>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</si>
  <si>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</si>
  <si>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</si>
  <si>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</si>
  <si>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</si>
  <si>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</si>
  <si>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</si>
  <si>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</si>
  <si>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</si>
  <si>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</si>
  <si>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</si>
  <si>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</si>
  <si>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</si>
  <si>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</si>
  <si>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</si>
  <si>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</si>
  <si>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</si>
  <si>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</si>
  <si>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</si>
  <si>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</si>
  <si>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</si>
  <si>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</si>
  <si>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</si>
  <si>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</si>
  <si>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</si>
  <si>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</si>
  <si>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</si>
  <si>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</si>
  <si>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</si>
  <si>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</si>
  <si>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</si>
  <si>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</si>
  <si>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</si>
  <si>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</si>
  <si>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</si>
  <si>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</si>
  <si>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</si>
  <si>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</si>
  <si>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</si>
  <si>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</si>
  <si>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</si>
  <si>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</si>
  <si>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</si>
  <si>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</si>
  <si>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</si>
  <si>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</si>
  <si>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</si>
  <si>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</si>
  <si>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</si>
  <si>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</si>
  <si>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</si>
  <si>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</si>
  <si>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</si>
  <si>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</si>
  <si>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</si>
  <si>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</si>
  <si>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</si>
  <si>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</si>
  <si>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</si>
  <si>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</si>
  <si>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</si>
  <si>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</si>
  <si>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</si>
  <si>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</si>
  <si>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</si>
  <si>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</si>
  <si>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</si>
  <si>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</si>
  <si>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</si>
  <si>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</si>
  <si>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</si>
  <si>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</si>
  <si>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</si>
  <si>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</si>
  <si>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</si>
  <si>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</si>
  <si>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</si>
  <si>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</si>
  <si>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</si>
  <si>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</si>
  <si>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</si>
  <si>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</si>
  <si>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</si>
  <si>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</si>
  <si>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</si>
  <si>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</si>
  <si>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</si>
  <si>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</si>
  <si>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</si>
  <si>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</si>
  <si>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</si>
  <si>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</si>
  <si>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</si>
  <si>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</si>
  <si>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</si>
  <si>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</si>
  <si>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</si>
  <si>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</si>
  <si>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</si>
  <si>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</si>
  <si>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</si>
  <si>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</si>
  <si>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</si>
  <si>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</si>
  <si>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</si>
  <si>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</si>
  <si>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</si>
  <si>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</si>
  <si>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</si>
  <si>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</si>
  <si>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</si>
  <si>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</si>
  <si>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</si>
  <si>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</si>
  <si>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</si>
  <si>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</si>
  <si>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</si>
  <si>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</si>
  <si>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</si>
  <si>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</si>
  <si>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</si>
  <si>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</si>
  <si>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</si>
  <si>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</si>
  <si>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</si>
  <si>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</si>
  <si>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</si>
  <si>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</si>
  <si>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</si>
  <si>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</si>
  <si>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</si>
  <si>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</si>
  <si>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</si>
  <si>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</si>
  <si>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</si>
  <si>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</si>
  <si>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</si>
  <si>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</si>
  <si>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</si>
  <si>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</si>
  <si>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</si>
  <si>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</si>
  <si>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</si>
  <si>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</si>
  <si>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</si>
  <si>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</si>
  <si>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</si>
  <si>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</si>
  <si>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</si>
  <si>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</si>
  <si>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</si>
  <si>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</si>
  <si>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</si>
  <si>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</si>
  <si>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</si>
  <si>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</si>
  <si>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</si>
  <si>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</si>
  <si>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</si>
  <si>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</si>
  <si>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</si>
  <si>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</si>
  <si>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various</t>
  </si>
  <si>
    <t>minor corrections in the number of arrivals</t>
  </si>
  <si>
    <t>UK</t>
  </si>
  <si>
    <t>UK airports removed from SES area</t>
  </si>
  <si>
    <t>Montijo AirBase</t>
  </si>
  <si>
    <t>All years</t>
  </si>
  <si>
    <t>Montijo AirBase removed from Portugal airport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</si>
</sst>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m/d/yyyy"/>
    <numFmt numFmtId="166" formatCode="d mmm yyyy"/>
    <numFmt numFmtId="167" formatCode="d mmm. yyyy"/>
    <numFmt numFmtId="168" formatCode="mmm yyyy"/>
  </numFmts>
  <fonts count="20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9.0"/>
      <color rgb="FF396EA2"/>
      <name val="Arial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Arial"/>
    </font>
    <font>
      <sz val="9.0"/>
      <color rgb="FF000000"/>
      <name val="Arial"/>
    </font>
    <font>
      <sz val="9.0"/>
      <color rgb="FF000000"/>
      <name val="Calibri"/>
    </font>
    <font>
      <b/>
      <sz val="8.0"/>
      <color rgb="FFC00000"/>
      <name val="Calibri"/>
    </font>
    <font>
      <b/>
      <sz val="8.0"/>
      <color rgb="FFC00000"/>
      <name val="Arial"/>
    </font>
    <font>
      <sz val="9.0"/>
      <color rgb="FFF3F3F3"/>
      <name val="Calibri"/>
    </font>
    <font/>
    <font>
      <u/>
      <sz val="9.0"/>
      <color rgb="FF396EA2"/>
      <name val="Calibri"/>
    </font>
    <font>
      <u/>
      <sz val="9.0"/>
      <color rgb="FF396EA2"/>
      <name val="Calibri"/>
    </font>
    <font>
      <name val="Calibri"/>
    </font>
    <font>
      <sz val="9.0"/>
      <name val="Calibri"/>
    </font>
    <font>
      <sz val="8.0"/>
      <color rgb="FFC00000"/>
      <name val="Calibri"/>
    </font>
    <font>
      <color rgb="FFF3F3F3"/>
      <name val="Calibri"/>
    </font>
    <font>
      <sz val="9.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25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2" fontId="1" numFmtId="0" xfId="0" applyAlignment="1" applyBorder="1" applyFont="1">
      <alignment shrinkToFit="0" vertical="bottom" wrapText="0"/>
    </xf>
    <xf borderId="0" fillId="3" fontId="3" numFmtId="164" xfId="0" applyAlignment="1" applyFont="1" applyNumberFormat="1">
      <alignment horizontal="left" readingOrder="0" shrinkToFit="0" vertical="bottom" wrapText="0"/>
    </xf>
    <xf borderId="1" fillId="2" fontId="1" numFmtId="0" xfId="0" applyAlignment="1" applyBorder="1" applyFont="1">
      <alignment horizontal="left" shrinkToFit="0" wrapText="0"/>
    </xf>
    <xf borderId="1" fillId="3" fontId="4" numFmtId="165" xfId="0" applyAlignment="1" applyBorder="1" applyFont="1" applyNumberFormat="1">
      <alignment horizontal="left" shrinkToFit="0" wrapText="0"/>
    </xf>
    <xf borderId="3" fillId="2" fontId="1" numFmtId="0" xfId="0" applyAlignment="1" applyBorder="1" applyFont="1">
      <alignment shrinkToFit="0" wrapText="0"/>
    </xf>
    <xf borderId="3" fillId="0" fontId="5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3" numFmtId="167" xfId="0" applyAlignment="1" applyBorder="1" applyFont="1" applyNumberFormat="1">
      <alignment horizontal="left" readingOrder="0" vertical="bottom"/>
    </xf>
    <xf borderId="3" fillId="2" fontId="1" numFmtId="0" xfId="0" applyAlignment="1" applyBorder="1" applyFont="1">
      <alignment horizontal="left" shrinkToFit="0" wrapText="0"/>
    </xf>
    <xf borderId="3" fillId="3" fontId="6" numFmtId="0" xfId="0" applyAlignment="1" applyBorder="1" applyFont="1">
      <alignment horizontal="left" readingOrder="0" shrinkToFit="0" wrapText="0"/>
    </xf>
    <xf borderId="3" fillId="3" fontId="7" numFmtId="0" xfId="0" applyAlignment="1" applyBorder="1" applyFont="1">
      <alignment readingOrder="0" shrinkToFit="0" wrapText="1"/>
    </xf>
    <xf borderId="3" fillId="3" fontId="7" numFmtId="49" xfId="0" applyAlignment="1" applyBorder="1" applyFont="1" applyNumberFormat="1">
      <alignment readingOrder="0" shrinkToFit="0" wrapText="1"/>
    </xf>
    <xf borderId="3" fillId="3" fontId="8" numFmtId="0" xfId="0" applyAlignment="1" applyBorder="1" applyFont="1">
      <alignment shrinkToFit="0" wrapText="1"/>
    </xf>
    <xf borderId="5" fillId="3" fontId="7" numFmtId="0" xfId="0" applyAlignment="1" applyBorder="1" applyFont="1">
      <alignment readingOrder="0" shrinkToFit="0" wrapText="1"/>
    </xf>
    <xf borderId="6" fillId="3" fontId="9" numFmtId="0" xfId="0" applyAlignment="1" applyBorder="1" applyFont="1">
      <alignment horizontal="center" readingOrder="0" shrinkToFit="0" vertical="center" wrapText="0"/>
    </xf>
    <xf borderId="7" fillId="3" fontId="10" numFmtId="0" xfId="0" applyAlignment="1" applyBorder="1" applyFont="1">
      <alignment readingOrder="0" shrinkToFit="0" vertical="center" wrapText="0"/>
    </xf>
    <xf borderId="8" fillId="3" fontId="8" numFmtId="0" xfId="0" applyAlignment="1" applyBorder="1" applyFont="1">
      <alignment shrinkToFit="0" wrapText="1"/>
    </xf>
    <xf borderId="0" fillId="3" fontId="7" numFmtId="0" xfId="0" applyAlignment="1" applyFont="1">
      <alignment readingOrder="0" shrinkToFit="0" wrapText="1"/>
    </xf>
    <xf borderId="7" fillId="4" fontId="11" numFmtId="49" xfId="0" applyAlignment="1" applyBorder="1" applyFill="1" applyFont="1" applyNumberFormat="1">
      <alignment horizontal="center" readingOrder="0" shrinkToFit="0" vertical="center" wrapText="1"/>
    </xf>
    <xf borderId="7" fillId="4" fontId="11" numFmtId="0" xfId="0" applyAlignment="1" applyBorder="1" applyFont="1">
      <alignment horizontal="center" readingOrder="0" shrinkToFit="0" vertical="center" wrapText="1"/>
    </xf>
    <xf borderId="7" fillId="4" fontId="11" numFmtId="0" xfId="0" applyAlignment="1" applyBorder="1" applyFont="1">
      <alignment horizontal="center" shrinkToFit="0" vertical="center" wrapText="1"/>
    </xf>
    <xf borderId="7" fillId="3" fontId="7" numFmtId="49" xfId="0" applyAlignment="1" applyBorder="1" applyFont="1" applyNumberFormat="1">
      <alignment horizontal="center" readingOrder="0" vertical="bottom"/>
    </xf>
    <xf borderId="9" fillId="5" fontId="8" numFmtId="4" xfId="0" applyAlignment="1" applyBorder="1" applyFill="1" applyFont="1" applyNumberFormat="1">
      <alignment readingOrder="0" shrinkToFit="0" vertical="center" wrapText="0"/>
    </xf>
    <xf borderId="9" fillId="3" fontId="8" numFmtId="3" xfId="0" applyAlignment="1" applyBorder="1" applyFont="1" applyNumberFormat="1">
      <alignment readingOrder="0" shrinkToFit="0" wrapText="1"/>
    </xf>
    <xf borderId="0" fillId="0" fontId="12" numFmtId="0" xfId="0" applyAlignment="1" applyFont="1">
      <alignment readingOrder="0"/>
    </xf>
    <xf borderId="0" fillId="3" fontId="8" numFmtId="0" xfId="0" applyAlignment="1" applyFont="1">
      <alignment shrinkToFit="0" wrapText="1"/>
    </xf>
    <xf borderId="0" fillId="3" fontId="7" numFmtId="49" xfId="0" applyAlignment="1" applyFont="1" applyNumberFormat="1">
      <alignment horizontal="center" readingOrder="0" vertical="bottom"/>
    </xf>
    <xf borderId="0" fillId="3" fontId="8" numFmtId="3" xfId="0" applyAlignment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2" fillId="2" fontId="1" numFmtId="0" xfId="0" applyAlignment="1" applyBorder="1" applyFont="1">
      <alignment shrinkToFit="0" vertical="bottom" wrapText="0"/>
    </xf>
    <xf borderId="0" fillId="3" fontId="2" numFmtId="164" xfId="0" applyAlignment="1" applyFont="1" applyNumberFormat="1">
      <alignment horizontal="left" readingOrder="0" shrinkToFit="0" vertical="bottom" wrapText="0"/>
    </xf>
    <xf borderId="1" fillId="2" fontId="1" numFmtId="0" xfId="0" applyAlignment="1" applyBorder="1" applyFont="1">
      <alignment horizontal="left" shrinkToFit="0" wrapText="0"/>
    </xf>
    <xf borderId="1" fillId="3" fontId="1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1"/>
    </xf>
    <xf borderId="3" fillId="2" fontId="1" numFmtId="0" xfId="0" applyAlignment="1" applyBorder="1" applyFont="1">
      <alignment shrinkToFit="0" wrapText="0"/>
    </xf>
    <xf borderId="3" fillId="3" fontId="5" numFmtId="166" xfId="0" applyAlignment="1" applyBorder="1" applyFont="1" applyNumberFormat="1">
      <alignment horizontal="left" readingOrder="0" vertical="bottom"/>
    </xf>
    <xf borderId="3" fillId="2" fontId="1" numFmtId="0" xfId="0" applyAlignment="1" applyBorder="1" applyFont="1">
      <alignment horizontal="left" shrinkToFit="0" wrapText="0"/>
    </xf>
    <xf borderId="3" fillId="3" fontId="14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horizontal="left" shrinkToFit="0" wrapText="1"/>
    </xf>
    <xf borderId="5" fillId="3" fontId="8" numFmtId="0" xfId="0" applyAlignment="1" applyBorder="1" applyFont="1">
      <alignment shrinkToFit="0" wrapText="1"/>
    </xf>
    <xf borderId="5" fillId="3" fontId="8" numFmtId="0" xfId="0" applyAlignment="1" applyBorder="1" applyFont="1">
      <alignment readingOrder="0" shrinkToFit="0" wrapText="1"/>
    </xf>
    <xf borderId="10" fillId="3" fontId="8" numFmtId="0" xfId="0" applyAlignment="1" applyBorder="1" applyFont="1">
      <alignment shrinkToFit="0" wrapText="0"/>
    </xf>
    <xf borderId="11" fillId="3" fontId="8" numFmtId="0" xfId="0" applyAlignment="1" applyBorder="1" applyFont="1">
      <alignment shrinkToFit="0" wrapText="0"/>
    </xf>
    <xf borderId="7" fillId="0" fontId="15" numFmtId="0" xfId="0" applyBorder="1" applyFont="1"/>
    <xf borderId="7" fillId="3" fontId="8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horizontal="left" readingOrder="0" shrinkToFit="0" wrapText="1"/>
    </xf>
    <xf borderId="7" fillId="3" fontId="8" numFmtId="0" xfId="0" applyAlignment="1" applyBorder="1" applyFont="1">
      <alignment horizontal="center" shrinkToFit="0" wrapText="1"/>
    </xf>
    <xf borderId="7" fillId="3" fontId="8" numFmtId="0" xfId="0" applyAlignment="1" applyBorder="1" applyFont="1">
      <alignment horizontal="left" shrinkToFit="0" wrapText="1"/>
    </xf>
    <xf borderId="11" fillId="4" fontId="11" numFmtId="0" xfId="0" applyAlignment="1" applyBorder="1" applyFont="1">
      <alignment horizontal="center"/>
    </xf>
    <xf borderId="12" fillId="4" fontId="11" numFmtId="0" xfId="0" applyAlignment="1" applyBorder="1" applyFont="1">
      <alignment horizontal="center" readingOrder="0" shrinkToFit="0" vertical="center" wrapText="1"/>
    </xf>
    <xf borderId="12" fillId="4" fontId="11" numFmtId="0" xfId="0" applyAlignment="1" applyBorder="1" applyFont="1">
      <alignment horizontal="center" shrinkToFit="0" vertical="center" wrapText="1"/>
    </xf>
    <xf borderId="13" fillId="4" fontId="11" numFmtId="0" xfId="0" applyAlignment="1" applyBorder="1" applyFont="1">
      <alignment horizontal="center" shrinkToFit="0" vertical="center" wrapText="1"/>
    </xf>
    <xf borderId="0" fillId="0" fontId="15" numFmtId="0" xfId="0" applyFont="1"/>
    <xf borderId="0" fillId="3" fontId="16" numFmtId="49" xfId="0" applyAlignment="1" applyFont="1" applyNumberFormat="1">
      <alignment horizontal="right" shrinkToFit="0" vertical="bottom" wrapText="1"/>
    </xf>
    <xf borderId="9" fillId="3" fontId="8" numFmtId="4" xfId="0" applyAlignment="1" applyBorder="1" applyFont="1" applyNumberFormat="1">
      <alignment readingOrder="0" shrinkToFit="0" vertical="center" wrapText="0"/>
    </xf>
    <xf borderId="9" fillId="3" fontId="8" numFmtId="3" xfId="0" applyAlignment="1" applyBorder="1" applyFont="1" applyNumberFormat="1">
      <alignment readingOrder="0" shrinkToFit="0" wrapText="1"/>
    </xf>
    <xf borderId="14" fillId="3" fontId="8" numFmtId="3" xfId="0" applyAlignment="1" applyBorder="1" applyFont="1" applyNumberFormat="1">
      <alignment readingOrder="0" shrinkToFit="0" wrapText="1"/>
    </xf>
    <xf borderId="13" fillId="6" fontId="15" numFmtId="2" xfId="0" applyAlignment="1" applyBorder="1" applyFill="1" applyFont="1" applyNumberFormat="1">
      <alignment vertical="bottom"/>
    </xf>
    <xf borderId="15" fillId="3" fontId="8" numFmtId="3" xfId="0" applyAlignment="1" applyBorder="1" applyFont="1" applyNumberFormat="1">
      <alignment readingOrder="0" shrinkToFit="0" vertical="center" wrapText="0"/>
    </xf>
    <xf borderId="7" fillId="3" fontId="16" numFmtId="49" xfId="0" applyAlignment="1" applyBorder="1" applyFont="1" applyNumberFormat="1">
      <alignment horizontal="right" shrinkToFit="0" vertical="bottom" wrapText="1"/>
    </xf>
    <xf borderId="13" fillId="6" fontId="8" numFmtId="2" xfId="0" applyAlignment="1" applyBorder="1" applyFont="1" applyNumberFormat="1">
      <alignment horizontal="right" vertical="bottom"/>
    </xf>
    <xf borderId="16" fillId="3" fontId="8" numFmtId="4" xfId="0" applyAlignment="1" applyBorder="1" applyFont="1" applyNumberFormat="1">
      <alignment readingOrder="0" shrinkToFit="0" vertical="center" wrapText="0"/>
    </xf>
    <xf borderId="16" fillId="3" fontId="8" numFmtId="3" xfId="0" applyAlignment="1" applyBorder="1" applyFont="1" applyNumberFormat="1">
      <alignment readingOrder="0" shrinkToFit="0" wrapText="1"/>
    </xf>
    <xf borderId="17" fillId="3" fontId="8" numFmtId="3" xfId="0" applyAlignment="1" applyBorder="1" applyFont="1" applyNumberFormat="1">
      <alignment readingOrder="0" shrinkToFit="0" wrapText="1"/>
    </xf>
    <xf borderId="12" fillId="6" fontId="15" numFmtId="2" xfId="0" applyAlignment="1" applyBorder="1" applyFont="1" applyNumberFormat="1">
      <alignment vertical="bottom"/>
    </xf>
    <xf borderId="18" fillId="3" fontId="8" numFmtId="3" xfId="0" applyAlignment="1" applyBorder="1" applyFont="1" applyNumberFormat="1">
      <alignment readingOrder="0" shrinkToFit="0" vertical="center" wrapText="0"/>
    </xf>
    <xf borderId="19" fillId="3" fontId="8" numFmtId="4" xfId="0" applyAlignment="1" applyBorder="1" applyFont="1" applyNumberFormat="1">
      <alignment readingOrder="0" shrinkToFit="0" vertical="center" wrapText="0"/>
    </xf>
    <xf borderId="20" fillId="3" fontId="8" numFmtId="3" xfId="0" applyAlignment="1" applyBorder="1" applyFont="1" applyNumberFormat="1">
      <alignment readingOrder="0" shrinkToFit="0" wrapText="1"/>
    </xf>
    <xf borderId="21" fillId="3" fontId="8" numFmtId="3" xfId="0" applyAlignment="1" applyBorder="1" applyFont="1" applyNumberFormat="1">
      <alignment readingOrder="0" shrinkToFit="0" wrapText="1"/>
    </xf>
    <xf borderId="22" fillId="3" fontId="8" numFmtId="3" xfId="0" applyAlignment="1" applyBorder="1" applyFont="1" applyNumberFormat="1">
      <alignment readingOrder="0" shrinkToFit="0" vertical="center" wrapText="0"/>
    </xf>
    <xf borderId="16" fillId="3" fontId="8" numFmtId="3" xfId="0" applyAlignment="1" applyBorder="1" applyFont="1" applyNumberFormat="1">
      <alignment readingOrder="0" shrinkToFit="0" vertical="center" wrapText="0"/>
    </xf>
    <xf borderId="19" fillId="3" fontId="8" numFmtId="3" xfId="0" applyAlignment="1" applyBorder="1" applyFont="1" applyNumberFormat="1">
      <alignment readingOrder="0" shrinkToFit="0" vertical="center" wrapText="0"/>
    </xf>
    <xf borderId="9" fillId="3" fontId="8" numFmtId="3" xfId="0" applyAlignment="1" applyBorder="1" applyFont="1" applyNumberFormat="1">
      <alignment readingOrder="0" shrinkToFit="0" vertical="center" wrapText="0"/>
    </xf>
    <xf borderId="0" fillId="0" fontId="15" numFmtId="0" xfId="0" applyAlignment="1" applyFont="1">
      <alignment readingOrder="0"/>
    </xf>
    <xf borderId="20" fillId="3" fontId="8" numFmtId="3" xfId="0" applyAlignment="1" applyBorder="1" applyFont="1" applyNumberFormat="1">
      <alignment readingOrder="0" shrinkToFit="0" vertical="center" wrapText="0"/>
    </xf>
    <xf borderId="7" fillId="3" fontId="16" numFmtId="49" xfId="0" applyAlignment="1" applyBorder="1" applyFont="1" applyNumberFormat="1">
      <alignment horizontal="right" readingOrder="0" shrinkToFit="0" vertical="bottom" wrapText="1"/>
    </xf>
    <xf borderId="3" fillId="3" fontId="8" numFmtId="0" xfId="0" applyAlignment="1" applyBorder="1" applyFont="1">
      <alignment shrinkToFit="0" wrapText="1"/>
    </xf>
    <xf borderId="7" fillId="5" fontId="9" numFmtId="0" xfId="0" applyAlignment="1" applyBorder="1" applyFont="1">
      <alignment readingOrder="0" shrinkToFit="0" vertical="center" wrapText="0"/>
    </xf>
    <xf borderId="7" fillId="5" fontId="17" numFmtId="0" xfId="0" applyAlignment="1" applyBorder="1" applyFont="1">
      <alignment horizontal="center" shrinkToFit="0" vertical="center" wrapText="0"/>
    </xf>
    <xf borderId="23" fillId="5" fontId="17" numFmtId="0" xfId="0" applyAlignment="1" applyBorder="1" applyFont="1">
      <alignment horizontal="center" shrinkToFit="0" vertical="center" wrapText="0"/>
    </xf>
    <xf borderId="0" fillId="3" fontId="8" numFmtId="0" xfId="0" applyAlignment="1" applyFont="1">
      <alignment shrinkToFit="0" wrapText="1"/>
    </xf>
    <xf borderId="0" fillId="4" fontId="18" numFmtId="0" xfId="0" applyFont="1"/>
    <xf borderId="7" fillId="4" fontId="11" numFmtId="0" xfId="0" applyAlignment="1" applyBorder="1" applyFont="1">
      <alignment readingOrder="0" shrinkToFit="0" wrapText="0"/>
    </xf>
    <xf borderId="0" fillId="0" fontId="15" numFmtId="3" xfId="0" applyFont="1" applyNumberFormat="1"/>
    <xf borderId="7" fillId="5" fontId="8" numFmtId="2" xfId="0" applyAlignment="1" applyBorder="1" applyFont="1" applyNumberFormat="1">
      <alignment readingOrder="0" shrinkToFit="0" vertical="center" wrapText="0"/>
    </xf>
    <xf borderId="0" fillId="3" fontId="8" numFmtId="0" xfId="0" applyAlignment="1" applyFont="1">
      <alignment readingOrder="0" shrinkToFit="0" wrapText="1"/>
    </xf>
    <xf borderId="0" fillId="5" fontId="8" numFmtId="2" xfId="0" applyAlignment="1" applyFont="1" applyNumberFormat="1">
      <alignment readingOrder="0" shrinkToFit="0" vertical="center" wrapText="0"/>
    </xf>
    <xf borderId="3" fillId="3" fontId="8" numFmtId="0" xfId="0" applyAlignment="1" applyBorder="1" applyFont="1">
      <alignment readingOrder="0" shrinkToFit="0" wrapText="1"/>
    </xf>
    <xf borderId="7" fillId="3" fontId="9" numFmtId="0" xfId="0" applyAlignment="1" applyBorder="1" applyFont="1">
      <alignment readingOrder="0" shrinkToFit="0" vertical="center" wrapText="0"/>
    </xf>
    <xf borderId="7" fillId="3" fontId="17" numFmtId="0" xfId="0" applyAlignment="1" applyBorder="1" applyFont="1">
      <alignment horizontal="center" shrinkToFit="0" vertical="center" wrapText="0"/>
    </xf>
    <xf borderId="0" fillId="3" fontId="8" numFmtId="0" xfId="0" applyAlignment="1" applyFont="1">
      <alignment readingOrder="0"/>
    </xf>
    <xf borderId="7" fillId="3" fontId="8" numFmtId="2" xfId="0" applyAlignment="1" applyBorder="1" applyFont="1" applyNumberFormat="1">
      <alignment readingOrder="0"/>
    </xf>
    <xf borderId="7" fillId="3" fontId="8" numFmtId="3" xfId="0" applyAlignment="1" applyBorder="1" applyFont="1" applyNumberFormat="1">
      <alignment readingOrder="0" shrinkToFit="0" vertical="center" wrapText="0"/>
    </xf>
    <xf borderId="7" fillId="3" fontId="8" numFmtId="0" xfId="0" applyAlignment="1" applyBorder="1" applyFont="1">
      <alignment readingOrder="0"/>
    </xf>
    <xf borderId="6" fillId="7" fontId="8" numFmtId="0" xfId="0" applyAlignment="1" applyBorder="1" applyFill="1" applyFont="1">
      <alignment shrinkToFit="0" wrapText="0"/>
    </xf>
    <xf borderId="6" fillId="7" fontId="8" numFmtId="0" xfId="0" applyAlignment="1" applyBorder="1" applyFont="1">
      <alignment horizontal="center" shrinkToFit="0" wrapText="0"/>
    </xf>
    <xf borderId="7" fillId="3" fontId="16" numFmtId="164" xfId="0" applyAlignment="1" applyBorder="1" applyFont="1" applyNumberFormat="1">
      <alignment horizontal="left" readingOrder="0" shrinkToFit="0" vertical="bottom" wrapText="0"/>
    </xf>
    <xf borderId="24" fillId="3" fontId="8" numFmtId="0" xfId="0" applyAlignment="1" applyBorder="1" applyFont="1">
      <alignment readingOrder="0" shrinkToFit="0" vertical="bottom" wrapText="0"/>
    </xf>
    <xf borderId="24" fillId="3" fontId="8" numFmtId="0" xfId="0" applyAlignment="1" applyBorder="1" applyFont="1">
      <alignment horizontal="center" readingOrder="0" shrinkToFit="0" vertical="bottom" wrapText="0"/>
    </xf>
    <xf borderId="24" fillId="3" fontId="8" numFmtId="0" xfId="0" applyAlignment="1" applyBorder="1" applyFont="1">
      <alignment readingOrder="0" vertical="bottom"/>
    </xf>
    <xf borderId="0" fillId="3" fontId="16" numFmtId="164" xfId="0" applyAlignment="1" applyFont="1" applyNumberFormat="1">
      <alignment horizontal="center" readingOrder="0" vertical="bottom"/>
    </xf>
    <xf borderId="0" fillId="3" fontId="8" numFmtId="17" xfId="0" applyAlignment="1" applyFont="1" applyNumberFormat="1">
      <alignment vertical="bottom"/>
    </xf>
    <xf borderId="0" fillId="3" fontId="8" numFmtId="0" xfId="0" applyAlignment="1" applyFont="1">
      <alignment horizontal="center" vertical="bottom"/>
    </xf>
    <xf borderId="0" fillId="3" fontId="8" numFmtId="0" xfId="0" applyAlignment="1" applyFont="1">
      <alignment vertical="bottom"/>
    </xf>
    <xf borderId="0" fillId="3" fontId="8" numFmtId="0" xfId="0" applyAlignment="1" applyFont="1">
      <alignment readingOrder="0" vertical="bottom"/>
    </xf>
    <xf borderId="0" fillId="3" fontId="19" numFmtId="164" xfId="0" applyAlignment="1" applyFont="1" applyNumberFormat="1">
      <alignment horizontal="center" readingOrder="0" shrinkToFit="0" vertical="bottom" wrapText="0"/>
    </xf>
    <xf borderId="0" fillId="3" fontId="7" numFmtId="168" xfId="0" applyAlignment="1" applyFont="1" applyNumberFormat="1">
      <alignment horizontal="center" readingOrder="0" vertical="bottom"/>
    </xf>
    <xf borderId="0" fillId="3" fontId="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:F194" sheet="APT_ATFM_APT"/>
  </cacheSource>
  <cacheFields>
    <cacheField name="State" numFmtId="0">
      <sharedItems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2">
      <sharedItems>
        <s v="Brussels (EBBR)"/>
        <s v="Berlin - Brandenburg (EDDB)"/>
        <s v="Dresden (EDDC)"/>
        <s v="Erfurt (EDDE)"/>
        <s v="Frankfurt (EDDF)"/>
        <s v="Muenster-Osnabrueck (EDDG)"/>
        <s v="Hamburg (EDDH)"/>
        <s v="Cologne-Bonn (EDDK)"/>
        <s v="Dusseldorf (EDDL)"/>
        <s v="Munich (EDDM)"/>
        <s v="Nuremberg (EDDN)"/>
        <s v="Leipzig-Halle (EDDP)"/>
        <s v="Saarbruecken (EDDR)"/>
        <s v="Stuttgart (EDDS)"/>
        <s v="Hanover (EDDV)"/>
        <s v="Bremen (EDDW)"/>
        <s v="Helsinki - Vantaa (EFHK)"/>
        <s v="Amsterdam - Schiphol (EHAM)"/>
        <s v="Maastricht-Aachen (EHBK)"/>
        <s v="Groningen (EHGG)"/>
        <s v="Rotterdam (EHRD)"/>
        <s v="Cork (EICK)"/>
        <s v="Dublin (EIDW)"/>
        <s v="Shannon (EINN)"/>
        <s v="Copenhagen - Kastrup (EKCH)"/>
        <s v="Luxembourg (ELLX)"/>
        <s v="Bergen (ENBR)"/>
        <s v="Oslo - Gardermoen (ENGM)"/>
        <s v="Trondheim (ENVA)"/>
        <s v="Stavanger (ENZV)"/>
        <s v="Bydgoszcz (EPBY)"/>
        <s v="Gdansk (EPGD)"/>
        <s v="Krakow - Balice (EPKK)"/>
        <s v="Katowice - Pyrzowice (EPKT)"/>
        <s v="Lublin (EPLB)"/>
        <s v="Lodz - Lublinek (EPLL)"/>
        <s v="Warszawa - Modlin (EPMO)"/>
        <s v="Poznan - Lawica (EPPO)"/>
        <s v="Radom (EPRA)"/>
        <s v="Rzeszow - Jasionka (EPRZ)"/>
        <s v="Szczecin - Goleniów (EPSC)"/>
        <s v="Olsztyn-Mazury (EPSY)"/>
        <s v="Warszawa - Chopina (EPWA)"/>
        <s v="Wroclaw - Strachowice (EPWR)"/>
        <s v="Zielona Gora - Babimost (EPZG)"/>
        <s v="Stockholm - Arlanda (ESSA)"/>
        <s v="Gran Canaria (GCLP)"/>
        <s v="Alicante (LEAL)"/>
        <s v="Barcelona (LEBL)"/>
        <s v="Ibiza (LEIB)"/>
        <s v="Madrid - Barajas (LEMD)"/>
        <s v="Málaga (LEMG)"/>
        <s v="Palma de Mallorca (LEPA)"/>
        <s v="Albert-Bray (LFAQ)"/>
        <s v="Bordeaux-Mérignac (LFBD)"/>
        <s v="Bergerac-Roumanière (LFBE)"/>
        <s v="La Rochelle-Ile de Ré (LFBH)"/>
        <s v="Poitiers-Biard (LFBI)"/>
        <s v="Limoges-Bellegarde (LFBL)"/>
        <s v="Toulouse-Blagnac (LFBO)"/>
        <s v="Pau-Pyrénées (LFBP)"/>
        <s v="Tarbes-Lourdes Pyrénées (LFBT)"/>
        <s v="Biarritz-Bayonne-Anglet (LFBZ)"/>
        <s v="Rodez-Marcillac (LFCR)"/>
        <s v="Dôle-Tavaux (LFGJ)"/>
        <s v="Metz-Nancy-Lorraine (LFJL)"/>
        <s v="Bastia-Poretta (LFKB)"/>
        <s v="Calvi-Sainte-Catherine (LFKC)"/>
        <s v="Figari-Sud Corse (LFKF)"/>
        <s v="Ajaccio-Napoléon-Bonaparte (LFKJ)"/>
        <s v="Chambéry-Aix-les-Bains (LFLB)"/>
        <s v="Clermont-Ferrand-Auvergne (LFLC)"/>
        <s v="Lyon-Saint-Exupéry (LFLL)"/>
        <s v="Annecy-Meythet (LFLP)"/>
        <s v="Grenoble-Isère (LFLS)"/>
        <s v="Châteauroux-Déols (LFLX)"/>
        <s v="Lyon-Bron (LFLY)"/>
        <s v="Cannes-Mandelieu (LFMD)"/>
        <s v="Istres-Le Tubé (LFMI)"/>
        <s v="Carcassonne-Salvaza (LFMK)"/>
        <s v="Marseille-Provence (LFML)"/>
        <s v="Nice-Côte d’Azur (LFMN)"/>
        <s v="Perpignan-Rivesaltes (LFMP)"/>
        <s v="Montpellier-Méditerranée (LFMT)"/>
        <s v="Béziers-Vias (LFMU)"/>
        <s v="Avignon-Caumont (LFMV)"/>
        <s v="Beauvais-Tillé (LFOB)"/>
        <s v="Châlons-Vatry (LFOK)"/>
        <s v="Tours-Val de Loire (LFOT)"/>
        <s v="Paris-Le Bourget (LFPB)"/>
        <s v="Paris-Charles-de-Gaulle (LFPG)"/>
        <s v="Toussus-le-Noble (LFPN)"/>
        <s v="Paris-Orly (LFPO)"/>
        <s v="Lille-Lesquin (LFQQ)"/>
        <s v="Brest-Bretagne (LFRB)"/>
        <s v="Deauville-Normandie (LFRG)"/>
        <s v="Lorient-Lann Bihoué (LFRH)"/>
        <s v="Caen-Carpiquet (LFRK)"/>
        <s v="Rennes-Saint-Jacques (LFRN)"/>
        <s v="Quimper-Pluguffan (LFRQ)"/>
        <s v="Nantes-Atlantique (LFRS)"/>
        <s v="Saint-Nazaire-Montoir (LFRZ)"/>
        <s v="Bâle-Mulhouse (LFSB)"/>
        <s v="Brive-Souillac (LFSL)"/>
        <s v="Strasbourg-Entzheim (LFST)"/>
        <s v="Hyères-Le Palyvestre (LFTH)"/>
        <s v="Nîmes-Garons (LFTW)"/>
        <s v="Athens (LGAV)"/>
        <s v="Budapest - Ferihegy (LHBP)"/>
        <s v="Crotone (LIBC)"/>
        <s v="Bari Karol Wojtyla (LIBD)"/>
        <s v="Foggia - Gino Lisa (LIBF)"/>
        <s v="Taranto-Grottaglie - Marcello Arlotta (LIBG)"/>
        <s v="Pescara International (LIBP)"/>
        <s v="Brindisi (LIBR)"/>
        <s v="Lamezia Terme (LICA)"/>
        <s v="Comiso (LICB)"/>
        <s v="Catania (LICC)"/>
        <s v="Lampedusa (LICD)"/>
        <s v="Pantelleria (LICG)"/>
        <s v="Palermo Falcone-Borsellino (LICJ)"/>
        <s v="Reggio Calabria (LICR)"/>
        <s v="Vincenzo Florio Trapani-Birgi (LICT)"/>
        <s v="Alghero-Fertilia (LIEA)"/>
        <s v="Cagliari Elmas (LIEE)"/>
        <s v="Olbia Costa Smeralda (LIEO)"/>
        <s v="Torino-Aeritalia (LIMA)"/>
        <s v="Milan - Malpensa (LIMC)"/>
        <s v="Bergamo (LIME)"/>
        <s v="Torino Caselle (LIMF)"/>
        <s v="Villanova D Albenga International (LIMG)"/>
        <s v="Genoa Cristoforo Colombo (LIMJ)"/>
        <s v="Milan - Linate (LIML)"/>
        <s v="Parma (LIMP)"/>
        <s v="Aosta (LIMW)"/>
        <s v="Cuneo International (LIMZ)"/>
        <s v="Bolzano (LIPB)"/>
        <s v="Bologna (LIPE)"/>
        <s v="Treviso (LIPH)"/>
        <s v="Forlì (LIPK)"/>
        <s v="Brescia (LIPO)"/>
        <s v="Trieste¿Friuli Venezia Giulia (LIPQ)"/>
        <s v="Federico Fellini International (LIPR)"/>
        <s v="Padova (LIPU)"/>
        <s v="Venice-Lido (LIPV)"/>
        <s v="Verona Villafranca (LIPX)"/>
        <s v="Ancona Falconara (LIPY)"/>
        <s v="Venice (LIPZ)"/>
        <s v="Rieti (LIQN)"/>
        <s v="Rome - Ciampino (LIRA)"/>
        <s v="Rome - Fiumicino (LIRF)"/>
        <s v="Salerno Costa d Amalfi (LIRI)"/>
        <s v="Naples (LIRN)"/>
        <s v="Pisa San Giusto (LIRP)"/>
        <s v="Firenze Peretola (LIRQ)"/>
        <s v="Grosseto Air Base (LIRS)"/>
        <s v="Urbe (LIRU)"/>
        <s v="Perugia San Francesco d Assisi ¿ Umbria Internat (LIRZ)"/>
        <s v="Prague (LKPR)"/>
        <s v="Malta (LMML)"/>
        <s v="Graz (LOWG)"/>
        <s v="Innsbruck (LOWI)"/>
        <s v="Klagenfurt (LOWK)"/>
        <s v="Linz (LOWL)"/>
        <s v="Salzburg (LOWS)"/>
        <s v="Vienna (LOWW)"/>
        <s v="Santa Maria (LPAZ)"/>
        <s v="Cascais (LPCS)"/>
        <s v="Flores (LPFL)"/>
        <s v="Faro (LPFR)"/>
        <s v="Horta (LPHR)"/>
        <s v="Madeira (LPMA)"/>
        <s v="Ponta Delgada (LPPD)"/>
        <s v="Porto (LPPR)"/>
        <s v="Porto Santo (LPPS)"/>
        <s v="Lisbon (LPPT)"/>
        <s v="Bacau (LRBC)"/>
        <s v="Bucharest - Băneasa (LRBS)"/>
        <s v="Mihail Kogalniceanu International (LRCK)"/>
        <s v="Cluj-Napoca International (LRCL)"/>
        <s v="Craiova (LRCV)"/>
        <s v="Iasi (LRIA)"/>
        <s v="Bucharest - Otopeni (LROP)"/>
        <s v="Sibiu International (LRSB)"/>
        <s v="Suceava Stefan cel Mare (LRSV)"/>
        <s v="Tulcea (LRTC)"/>
        <s v="Transilvania Târgu Mures International (LRTM)"/>
        <s v="Geneva (LSGG)"/>
        <s v="Zürich (LSZH)"/>
      </sharedItems>
    </cacheField>
    <cacheField name="ICAO" numFmtId="2">
      <sharedItems>
        <s v="EBBR"/>
        <s v="EDDB"/>
        <s v="EDDC"/>
        <s v="EDDE"/>
        <s v="EDDF"/>
        <s v="EDDG"/>
        <s v="EDDH"/>
        <s v="EDDK"/>
        <s v="EDDL"/>
        <s v="EDDM"/>
        <s v="EDDN"/>
        <s v="EDDP"/>
        <s v="EDDR"/>
        <s v="EDDS"/>
        <s v="EDDV"/>
        <s v="EDDW"/>
        <s v="EFHK"/>
        <s v="EHAM"/>
        <s v="EHBK"/>
        <s v="EHGG"/>
        <s v="EHRD"/>
        <s v="EICK"/>
        <s v="EIDW"/>
        <s v="EINN"/>
        <s v="EKCH"/>
        <s v="ELLX"/>
        <s v="ENBR"/>
        <s v="ENGM"/>
        <s v="ENVA"/>
        <s v="ENZV"/>
        <s v="EPBY"/>
        <s v="EPGD"/>
        <s v="EPKK"/>
        <s v="EPKT"/>
        <s v="EPLB"/>
        <s v="EPLL"/>
        <s v="EPMO"/>
        <s v="EPPO"/>
        <s v="EPRA"/>
        <s v="EPRZ"/>
        <s v="EPSC"/>
        <s v="EPSY"/>
        <s v="EPWA"/>
        <s v="EPWR"/>
        <s v="EPZG"/>
        <s v="ESSA"/>
        <s v="GCLP"/>
        <s v="LEAL"/>
        <s v="LEBL"/>
        <s v="LEIB"/>
        <s v="LEMD"/>
        <s v="LEMG"/>
        <s v="LEPA"/>
        <s v="LFAQ"/>
        <s v="LFBD"/>
        <s v="LFBE"/>
        <s v="LFBH"/>
        <s v="LFBI"/>
        <s v="LFBL"/>
        <s v="LFBO"/>
        <s v="LFBP"/>
        <s v="LFBT"/>
        <s v="LFBZ"/>
        <s v="LFCR"/>
        <s v="LFGJ"/>
        <s v="LFJL"/>
        <s v="LFKB"/>
        <s v="LFKC"/>
        <s v="LFKF"/>
        <s v="LFKJ"/>
        <s v="LFLB"/>
        <s v="LFLC"/>
        <s v="LFLL"/>
        <s v="LFLP"/>
        <s v="LFLS"/>
        <s v="LFLX"/>
        <s v="LFLY"/>
        <s v="LFMD"/>
        <s v="LFMI"/>
        <s v="LFMK"/>
        <s v="LFML"/>
        <s v="LFMN"/>
        <s v="LFMP"/>
        <s v="LFMT"/>
        <s v="LFMU"/>
        <s v="LFMV"/>
        <s v="LFOB"/>
        <s v="LFOK"/>
        <s v="LFOT"/>
        <s v="LFPB"/>
        <s v="LFPG"/>
        <s v="LFPN"/>
        <s v="LFPO"/>
        <s v="LFQQ"/>
        <s v="LFRB"/>
        <s v="LFRG"/>
        <s v="LFRH"/>
        <s v="LFRK"/>
        <s v="LFRN"/>
        <s v="LFRQ"/>
        <s v="LFRS"/>
        <s v="LFRZ"/>
        <s v="LFSB"/>
        <s v="LFSL"/>
        <s v="LFST"/>
        <s v="LFTH"/>
        <s v="LFTW"/>
        <s v="LGAV"/>
        <s v="LHBP"/>
        <s v="LIBC"/>
        <s v="LIBD"/>
        <s v="LIBF"/>
        <s v="LIBG"/>
        <s v="LIBP"/>
        <s v="LIBR"/>
        <s v="LICA"/>
        <s v="LICB"/>
        <s v="LICC"/>
        <s v="LICD"/>
        <s v="LICG"/>
        <s v="LICJ"/>
        <s v="LICR"/>
        <s v="LICT"/>
        <s v="LIEA"/>
        <s v="LIEE"/>
        <s v="LIEO"/>
        <s v="LIMA"/>
        <s v="LIMC"/>
        <s v="LIME"/>
        <s v="LIMF"/>
        <s v="LIMG"/>
        <s v="LIMJ"/>
        <s v="LIML"/>
        <s v="LIMP"/>
        <s v="LIMW"/>
        <s v="LIMZ"/>
        <s v="LIPB"/>
        <s v="LIPE"/>
        <s v="LIPH"/>
        <s v="LIPK"/>
        <s v="LIPO"/>
        <s v="LIPQ"/>
        <s v="LIPR"/>
        <s v="LIPU"/>
        <s v="LIPV"/>
        <s v="LIPX"/>
        <s v="LIPY"/>
        <s v="LIPZ"/>
        <s v="LIQN"/>
        <s v="LIRA"/>
        <s v="LIRF"/>
        <s v="LIRI"/>
        <s v="LIRN"/>
        <s v="LIRP"/>
        <s v="LIRQ"/>
        <s v="LIRS"/>
        <s v="LIRU"/>
        <s v="LIRZ"/>
        <s v="LKPR"/>
        <s v="LMML"/>
        <s v="LOWG"/>
        <s v="LOWI"/>
        <s v="LOWK"/>
        <s v="LOWL"/>
        <s v="LOWS"/>
        <s v="LOWW"/>
        <s v="LPAZ"/>
        <s v="LPCS"/>
        <s v="LPFL"/>
        <s v="LPFR"/>
        <s v="LPHR"/>
        <s v="LPMA"/>
        <s v="LPPD"/>
        <s v="LPPR"/>
        <s v="LPPS"/>
        <s v="LPPT"/>
        <s v="LRBC"/>
        <s v="LRBS"/>
        <s v="LRCK"/>
        <s v="LRCL"/>
        <s v="LRCV"/>
        <s v="LRIA"/>
        <s v="LROP"/>
        <s v="LRSB"/>
        <s v="LRSV"/>
        <s v="LRTC"/>
        <s v="LRTM"/>
        <s v="LSGG"/>
        <s v="LSZH"/>
      </sharedItems>
    </cacheField>
    <cacheField name="Apt. ATFM dly [min./arr.]" numFmtId="2">
      <sharedItems containsString="0" containsBlank="1" containsNumber="1">
        <n v="0.20107694487742667"/>
        <n v="0.6279371252633285"/>
        <n v="0.0"/>
        <n v="0.85968505953143"/>
        <n v="0.16374115797746921"/>
        <n v="0.2262954796030871"/>
        <n v="0.11481706084495653"/>
        <n v="0.44418030538538905"/>
        <n v="0.6270442760271241"/>
        <n v="0.12704983282916732"/>
        <n v="8.859005251776336"/>
        <n v="0.05653710247349823"/>
        <n v="0.4783772211517876"/>
        <n v="0.9989351506761793"/>
        <n v="0.6162988115449916"/>
        <n v="0.8631552097946691"/>
        <n v="0.31835205992509363"/>
        <n v="0.001004016064257028"/>
        <n v="0.6906680530283338"/>
        <n v="0.16517857142857142"/>
        <n v="1.1278486455496632"/>
        <n v="0.9664264657713724"/>
        <n v="0.09013333333333333"/>
        <n v="0.4407401369416368"/>
        <n v="0.6506024096385542"/>
        <n v="0.35842911877394634"/>
        <n v="0.14056896963901505"/>
        <n v="0.4491822429906542"/>
        <n v="0.23191733639494833"/>
        <n v="0.13297872340425532"/>
        <n v="0.31926863572433195"/>
        <n v="0.12542372881355932"/>
        <n v="1.3611111111111112"/>
        <n v="0.0852994555353902"/>
        <n v="2.7325399310992795"/>
        <n v="0.5044182621502209"/>
        <n v="7.51595744680851"/>
        <n v="0.442523768366465"/>
        <n v="3.4698564593301437"/>
        <n v="1.9615193781355091"/>
        <n v="2.101769911504425"/>
        <n v="1.1704959196484621"/>
        <n v="0.8635464733025708"/>
        <n v="1.5699276999548124"/>
        <n v="0.3333333333333333"/>
        <n v="0.3148148148148148"/>
        <n v="0.37373737373737376"/>
        <n v="0.23148148148148148"/>
        <n v="0.8759923350670682"/>
        <n v="0.11832220367278798"/>
        <n v="0.043653705062362436"/>
        <n v="1.8314500941619585"/>
        <m/>
        <n v="0.3933274802458297"/>
        <n v="5.706510138740661"/>
        <n v="0.08961303462321792"/>
        <n v="0.7754901960784314"/>
        <n v="0.24778761061946902"/>
        <n v="0.13053263315828958"/>
        <n v="0.7896181682056401"/>
        <n v="0.28416988416988415"/>
        <n v="0.11141157382368848"/>
        <n v="1.7756934054551732"/>
        <n v="3.0658615363010813"/>
        <n v="1.8571428571428572"/>
      </sharedItems>
    </cacheField>
    <cacheField name="FLTS [ARR]" numFmtId="3">
      <sharedItems containsString="0" containsBlank="1" containsNumber="1" containsInteger="1">
        <n v="7057.0"/>
        <n v="6171.0"/>
        <n v="286.0"/>
        <n v="72.0"/>
        <n v="15622.0"/>
        <n v="493.0"/>
        <n v="3817.0"/>
        <n v="3628.0"/>
        <n v="4947.0"/>
        <n v="10937.0"/>
        <n v="1350.0"/>
        <n v="2507.0"/>
        <n v="117.0"/>
        <n v="2671.0"/>
        <n v="1505.0"/>
        <n v="719.0"/>
        <n v="6281.0"/>
        <n v="16185.0"/>
        <n v="191.0"/>
        <n v="283.0"/>
        <n v="885.0"/>
        <n v="841.0"/>
        <n v="9342.0"/>
        <n v="796.0"/>
        <n v="9391.0"/>
        <n v="2356.0"/>
        <n v="3273.0"/>
        <n v="7841.0"/>
        <n v="1933.0"/>
        <n v="2192.0"/>
        <n v="155.0"/>
        <n v="1862.0"/>
        <n v="3204.0"/>
        <n v="1443.0"/>
        <n v="132.0"/>
        <n v="184.0"/>
        <n v="718.0"/>
        <n v="996.0"/>
        <n v="15.0"/>
        <n v="518.0"/>
        <n v="181.0"/>
        <n v="58.0"/>
        <n v="7694.0"/>
        <n v="1344.0"/>
        <n v="31.0"/>
        <n v="6977.0"/>
        <n v="6106.0"/>
        <n v="3750.0"/>
        <n v="12268.0"/>
        <n v="1249.0"/>
        <n v="17347.0"/>
        <n v="5220.0"/>
        <n v="4183.0"/>
        <n v="55.0"/>
        <n v="1712.0"/>
        <n v="9.0"/>
        <n v="111.0"/>
        <n v="126.0"/>
        <n v="197.0"/>
        <n v="2613.0"/>
        <n v="321.0"/>
        <n v="188.0"/>
        <n v="303.0"/>
        <n v="110.0"/>
        <n v="95.0"/>
        <n v="66.0"/>
        <n v="479.0"/>
        <n v="153.0"/>
        <n v="172.0"/>
        <n v="439.0"/>
        <n v="711.0"/>
        <n v="295.0"/>
        <n v="3535.0"/>
        <n v="144.0"/>
        <n v="551.0"/>
        <n v="78.0"/>
        <n v="290.0"/>
        <n v="175.0"/>
        <n v="102.0"/>
        <n v="3193.0"/>
        <n v="4074.0"/>
        <n v="406.0"/>
        <n v="846.0"/>
        <n v="182.0"/>
        <n v="1157.0"/>
        <n v="107.0"/>
        <n v="157.0"/>
        <n v="2090.0"/>
        <n v="18139.0"/>
        <n v="452.0"/>
        <n v="7965.0"/>
        <n v="401.0"/>
        <n v="421.0"/>
        <n v="56.0"/>
        <n v="143.0"/>
        <n v="109.0"/>
        <n v="375.0"/>
        <n v="28.0"/>
        <n v="1517.0"/>
        <n v="2445.0"/>
        <n v="139.0"/>
        <n v="418.0"/>
        <n v="193.0"/>
        <n v="348.0"/>
        <n v="8852.0"/>
        <n v="4935.0"/>
        <n v="108.0"/>
        <n v="1532.0"/>
        <n v="49.0"/>
        <n v="19.0"/>
        <n v="297.0"/>
        <n v="594.0"/>
        <n v="667.0"/>
        <n v="2223.0"/>
        <n v="116.0"/>
        <n v="120.0"/>
        <n v="1767.0"/>
        <n v="236.0"/>
        <n v="279.0"/>
        <n v="305.0"/>
        <n v="999.0"/>
        <n v="377.0"/>
        <n v="13.0"/>
        <n v="7814.0"/>
        <n v="3653.0"/>
        <n v="1801.0"/>
        <n v="24.0"/>
        <n v="450.0"/>
        <n v="4792.0"/>
        <n v="46.0"/>
        <n v="2.0"/>
        <n v="70.0"/>
        <n v="2726.0"/>
        <n v="808.0"/>
        <n v="232.0"/>
        <n v="429.0"/>
        <n v="1.0"/>
        <n v="1062.0"/>
        <n v="261.0"/>
        <n v="2746.0"/>
        <m/>
        <n v="1623.0"/>
        <n v="11063.0"/>
        <n v="43.0"/>
        <n v="2483.0"/>
        <n v="1139.0"/>
        <n v="1202.0"/>
        <n v="27.0"/>
        <n v="130.0"/>
        <n v="4685.0"/>
        <n v="2455.0"/>
        <n v="386.0"/>
        <n v="1020.0"/>
        <n v="113.0"/>
        <n v="269.0"/>
        <n v="1333.0"/>
        <n v="8014.0"/>
        <n v="83.0"/>
        <n v="178.0"/>
        <n v="42.0"/>
        <n v="1297.0"/>
        <n v="159.0"/>
        <n v="1295.0"/>
        <n v="765.0"/>
        <n v="3698.0"/>
        <n v="99.0"/>
        <n v="8689.0"/>
        <n v="123.0"/>
        <n v="1019.0"/>
        <n v="200.0"/>
        <n v="611.0"/>
        <n v="4673.0"/>
        <n v="221.0"/>
        <n v="3.0"/>
        <n v="7121.0"/>
        <n v="9919.0"/>
      </sharedItems>
    </cacheField>
    <cacheField name="Airport ATFM arr. delay [total]" numFmtId="3">
      <sharedItems containsString="0" containsBlank="1" containsNumber="1" containsInteger="1">
        <n v="1419.0"/>
        <n v="3875.0"/>
        <n v="0.0"/>
        <n v="13430.0"/>
        <n v="625.0"/>
        <n v="821.0"/>
        <n v="568.0"/>
        <n v="4858.0"/>
        <n v="1572.0"/>
        <n v="798.0"/>
        <n v="143383.0"/>
        <n v="16.0"/>
        <n v="4469.0"/>
        <n v="9381.0"/>
        <n v="1452.0"/>
        <n v="6768.0"/>
        <n v="1020.0"/>
        <n v="1.0"/>
        <n v="5314.0"/>
        <n v="222.0"/>
        <n v="7869.0"/>
        <n v="5901.0"/>
        <n v="338.0"/>
        <n v="5407.0"/>
        <n v="11286.0"/>
        <n v="1871.0"/>
        <n v="588.0"/>
        <n v="769.0"/>
        <n v="606.0"/>
        <n v="25.0"/>
        <n v="227.0"/>
        <n v="37.0"/>
        <n v="196.0"/>
        <n v="47.0"/>
        <n v="8725.0"/>
        <n v="2055.0"/>
        <n v="1413.0"/>
        <n v="512.0"/>
        <n v="7252.0"/>
        <n v="35580.0"/>
        <n v="950.0"/>
        <n v="9323.0"/>
        <n v="1310.0"/>
        <n v="13897.0"/>
        <n v="1645.0"/>
        <n v="34.0"/>
        <n v="111.0"/>
        <n v="3200.0"/>
        <n v="567.0"/>
        <n v="119.0"/>
        <n v="1945.0"/>
        <m/>
        <n v="448.0"/>
        <n v="26735.0"/>
        <n v="220.0"/>
        <n v="791.0"/>
        <n v="28.0"/>
        <n v="174.0"/>
        <n v="6328.0"/>
        <n v="368.0"/>
        <n v="412.0"/>
        <n v="15429.0"/>
        <n v="21832.0"/>
        <n v="1842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PT_ATFM_LOC" cacheId="0" dataCaption="" rowGrandTotals="0" compact="0" compactData="0">
  <location ref="A5:D26" firstHeaderRow="0" firstDataRow="2" firstDataCol="0"/>
  <pivotFields>
    <pivotField name="State" axis="axisRow" compact="0" outline="0" multipleItemSelectionAllowed="1" showAll="0" sortType="ascending">
      <items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ICAO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Apt. ATFM dly [min./arr.]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FLTS [ARR]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Airport ATFM arr. delay [total]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</pivotFields>
  <rowFields>
    <field x="0"/>
  </rowFields>
  <colFields>
    <field x="-2"/>
  </colFields>
  <dataFields>
    <dataField name="Valid airports" fld="4" subtotal="count" baseField="0"/>
    <dataField name="Arrivals" fld="4" baseField="0"/>
    <dataField name="Airport ATFM arr. delay" fld="5" baseField="0"/>
  </dataFields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2.38"/>
    <col customWidth="1" min="2" max="2" width="20.5"/>
    <col customWidth="1" min="3" max="3" width="9.13"/>
    <col customWidth="1" min="4" max="4" width="14.63"/>
    <col customWidth="1" min="5" max="5" width="13.0"/>
    <col customWidth="1" min="6" max="6" width="11.5"/>
  </cols>
  <sheetData>
    <row r="1" ht="12.0" customHeight="1">
      <c r="A1" s="1" t="s">
        <v>0</v>
      </c>
      <c r="B1" s="2" t="s">
        <v>1</v>
      </c>
      <c r="C1" s="3" t="s">
        <v>2</v>
      </c>
      <c r="D1" s="4">
        <v>42370.0</v>
      </c>
      <c r="E1" s="5" t="s">
        <v>3</v>
      </c>
      <c r="F1" s="6" t="str">
        <f>HYPERLINK("https://www.eurocontrol.int/prudata/dashboard/metadata/airport-atfm-delay/","Airport ATFM delay")</f>
        <v>Airport ATFM delay</v>
      </c>
    </row>
    <row r="2" ht="12.0" customHeight="1">
      <c r="A2" s="7" t="s">
        <v>4</v>
      </c>
      <c r="B2" s="8">
        <v>46070.0</v>
      </c>
      <c r="C2" s="9" t="s">
        <v>5</v>
      </c>
      <c r="D2" s="10">
        <v>46053.0</v>
      </c>
      <c r="E2" s="11" t="s">
        <v>6</v>
      </c>
      <c r="F2" s="12" t="s">
        <v>7</v>
      </c>
    </row>
    <row r="3" ht="12.0" customHeight="1">
      <c r="A3" s="13" t="s">
        <v>8</v>
      </c>
      <c r="B3" s="14" t="s">
        <v>8</v>
      </c>
      <c r="C3" s="15"/>
      <c r="D3" s="13" t="s">
        <v>9</v>
      </c>
      <c r="E3" s="16" t="s">
        <v>10</v>
      </c>
      <c r="F3" s="16" t="s">
        <v>9</v>
      </c>
    </row>
    <row r="4" ht="12.0" customHeight="1">
      <c r="A4" s="17" t="s">
        <v>11</v>
      </c>
      <c r="B4" s="18" t="s">
        <v>12</v>
      </c>
      <c r="C4" s="15"/>
      <c r="D4" s="19"/>
      <c r="E4" s="20" t="s">
        <v>8</v>
      </c>
      <c r="F4" s="20" t="s">
        <v>8</v>
      </c>
    </row>
    <row r="5" ht="38.25" customHeight="1">
      <c r="A5" s="21" t="s">
        <v>13</v>
      </c>
      <c r="B5" s="22" t="s">
        <v>14</v>
      </c>
      <c r="C5" s="23" t="s">
        <v>15</v>
      </c>
      <c r="D5" s="22" t="s">
        <v>16</v>
      </c>
      <c r="F5" s="20" t="s">
        <v>8</v>
      </c>
    </row>
    <row r="6" ht="12.0" customHeight="1">
      <c r="A6" s="24" t="s">
        <v>17</v>
      </c>
      <c r="B6" s="25">
        <f t="shared" ref="B6:B13" si="1">D6/C6</f>
        <v>0.4840577876</v>
      </c>
      <c r="C6" s="26">
        <v>410953.0</v>
      </c>
      <c r="D6" s="26">
        <v>198925.0</v>
      </c>
      <c r="E6" s="27" t="s">
        <v>8</v>
      </c>
      <c r="F6" s="28"/>
    </row>
    <row r="7" ht="12.0" customHeight="1">
      <c r="A7" s="24" t="s">
        <v>18</v>
      </c>
      <c r="B7" s="25">
        <f t="shared" si="1"/>
        <v>0.5836698202</v>
      </c>
      <c r="C7" s="26">
        <v>409377.0</v>
      </c>
      <c r="D7" s="26">
        <v>238941.0</v>
      </c>
      <c r="E7" s="27" t="s">
        <v>9</v>
      </c>
      <c r="F7" s="28"/>
    </row>
    <row r="8" ht="12.0" customHeight="1">
      <c r="A8" s="24" t="s">
        <v>19</v>
      </c>
      <c r="B8" s="25">
        <f t="shared" si="1"/>
        <v>0.1994497123</v>
      </c>
      <c r="C8" s="26">
        <v>135202.0</v>
      </c>
      <c r="D8" s="26">
        <v>26966.0</v>
      </c>
      <c r="F8" s="28"/>
    </row>
    <row r="9" ht="12.0" customHeight="1">
      <c r="A9" s="24" t="s">
        <v>20</v>
      </c>
      <c r="B9" s="25">
        <f t="shared" si="1"/>
        <v>0.2563526473</v>
      </c>
      <c r="C9" s="26">
        <v>278624.0</v>
      </c>
      <c r="D9" s="26">
        <v>71426.0</v>
      </c>
      <c r="F9" s="20" t="s">
        <v>10</v>
      </c>
    </row>
    <row r="10" ht="12.0" customHeight="1">
      <c r="A10" s="24" t="s">
        <v>21</v>
      </c>
      <c r="B10" s="25">
        <f t="shared" si="1"/>
        <v>0.3472566635</v>
      </c>
      <c r="C10" s="26">
        <v>349629.0</v>
      </c>
      <c r="D10" s="26">
        <v>121411.0</v>
      </c>
      <c r="E10" s="27" t="s">
        <v>8</v>
      </c>
      <c r="F10" s="28"/>
    </row>
    <row r="11" ht="12.0" customHeight="1">
      <c r="A11" s="24" t="s">
        <v>22</v>
      </c>
      <c r="B11" s="25">
        <f t="shared" si="1"/>
        <v>0.5802765311</v>
      </c>
      <c r="C11" s="26">
        <v>364733.0</v>
      </c>
      <c r="D11" s="26">
        <v>211646.0</v>
      </c>
      <c r="F11" s="28"/>
    </row>
    <row r="12" ht="12.0" customHeight="1">
      <c r="A12" s="24" t="s">
        <v>23</v>
      </c>
      <c r="B12" s="25">
        <f t="shared" si="1"/>
        <v>0.8366133624</v>
      </c>
      <c r="C12" s="26">
        <v>381145.0</v>
      </c>
      <c r="D12" s="26">
        <v>318871.0</v>
      </c>
      <c r="F12" s="28"/>
    </row>
    <row r="13" ht="12.0" customHeight="1">
      <c r="A13" s="29" t="s">
        <v>24</v>
      </c>
      <c r="B13" s="25">
        <f t="shared" si="1"/>
        <v>1.073926095</v>
      </c>
      <c r="C13" s="30">
        <v>386440.0</v>
      </c>
      <c r="D13" s="30">
        <v>415008.0</v>
      </c>
      <c r="F13" s="2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0.13"/>
    <col customWidth="1" min="2" max="2" width="15.13"/>
    <col customWidth="1" min="3" max="3" width="9.13"/>
    <col customWidth="1" min="4" max="4" width="15.5"/>
    <col customWidth="1" min="5" max="5" width="9.13"/>
    <col customWidth="1" min="6" max="6" width="14.25"/>
    <col customWidth="1" min="7" max="7" width="8.88"/>
  </cols>
  <sheetData>
    <row r="1" ht="12.0" customHeight="1">
      <c r="A1" s="31" t="s">
        <v>0</v>
      </c>
      <c r="B1" s="32" t="s">
        <v>1</v>
      </c>
      <c r="C1" s="33" t="s">
        <v>2</v>
      </c>
      <c r="D1" s="34">
        <v>43466.0</v>
      </c>
      <c r="E1" s="35" t="s">
        <v>3</v>
      </c>
      <c r="F1" s="36" t="str">
        <f>HYPERLINK("https://www.eurocontrol.int/prudata/dashboard/metadata/airport-atfm-delay/","Airport ATFM delay")</f>
        <v>Airport ATFM delay</v>
      </c>
      <c r="G1" s="37"/>
    </row>
    <row r="2" ht="12.0" customHeight="1">
      <c r="A2" s="38" t="s">
        <v>4</v>
      </c>
      <c r="B2" s="39">
        <f>APT_ATFM_SES_YY!B2</f>
        <v>46070</v>
      </c>
      <c r="C2" s="9" t="s">
        <v>5</v>
      </c>
      <c r="D2" s="10">
        <f>APT_ATFM_SES_YY!D2</f>
        <v>46053</v>
      </c>
      <c r="E2" s="40" t="s">
        <v>6</v>
      </c>
      <c r="F2" s="41" t="s">
        <v>7</v>
      </c>
      <c r="G2" s="42"/>
    </row>
    <row r="3" ht="13.5" customHeight="1">
      <c r="A3" s="43"/>
      <c r="B3" s="43"/>
      <c r="C3" s="43"/>
      <c r="D3" s="43"/>
      <c r="E3" s="43"/>
      <c r="F3" s="44" t="s">
        <v>9</v>
      </c>
      <c r="G3" s="43"/>
    </row>
    <row r="4" ht="12.0" customHeight="1">
      <c r="A4" s="45"/>
      <c r="B4" s="46"/>
      <c r="C4" s="47"/>
      <c r="D4" s="48" t="s">
        <v>8</v>
      </c>
      <c r="E4" s="49" t="s">
        <v>8</v>
      </c>
      <c r="F4" s="50"/>
      <c r="G4" s="51"/>
    </row>
    <row r="5" ht="39.0" customHeight="1">
      <c r="A5" s="52" t="s">
        <v>25</v>
      </c>
      <c r="B5" s="53" t="s">
        <v>14</v>
      </c>
      <c r="C5" s="54" t="s">
        <v>15</v>
      </c>
      <c r="D5" s="53" t="s">
        <v>16</v>
      </c>
      <c r="E5" s="55" t="s">
        <v>26</v>
      </c>
      <c r="F5" s="53" t="s">
        <v>27</v>
      </c>
      <c r="G5" s="56"/>
    </row>
    <row r="6" ht="12.0" customHeight="1">
      <c r="A6" s="57" t="s">
        <v>28</v>
      </c>
      <c r="B6" s="58">
        <f t="shared" ref="B6:B90" si="1">D6/C6</f>
        <v>0.4840577876</v>
      </c>
      <c r="C6" s="59">
        <v>410953.0</v>
      </c>
      <c r="D6" s="60">
        <v>198925.0</v>
      </c>
      <c r="E6" s="61"/>
      <c r="F6" s="62">
        <v>1.0</v>
      </c>
      <c r="G6" s="56"/>
    </row>
    <row r="7" ht="12.0" customHeight="1">
      <c r="A7" s="63" t="s">
        <v>29</v>
      </c>
      <c r="B7" s="58">
        <f t="shared" si="1"/>
        <v>0.4638788176</v>
      </c>
      <c r="C7" s="59">
        <v>387515.0</v>
      </c>
      <c r="D7" s="60">
        <v>179760.0</v>
      </c>
      <c r="E7" s="61"/>
      <c r="F7" s="62">
        <v>1.0</v>
      </c>
      <c r="G7" s="56"/>
    </row>
    <row r="8" ht="12.0" customHeight="1">
      <c r="A8" s="63" t="s">
        <v>30</v>
      </c>
      <c r="B8" s="58">
        <f t="shared" si="1"/>
        <v>0.9873021579</v>
      </c>
      <c r="C8" s="59">
        <v>445115.0</v>
      </c>
      <c r="D8" s="60">
        <v>439463.0</v>
      </c>
      <c r="E8" s="61"/>
      <c r="F8" s="62">
        <v>1.0</v>
      </c>
      <c r="G8" s="56"/>
    </row>
    <row r="9" ht="12.0" customHeight="1">
      <c r="A9" s="63" t="s">
        <v>31</v>
      </c>
      <c r="B9" s="58">
        <f t="shared" si="1"/>
        <v>0.6974219613</v>
      </c>
      <c r="C9" s="59">
        <v>481684.0</v>
      </c>
      <c r="D9" s="60">
        <v>335937.0</v>
      </c>
      <c r="E9" s="61"/>
      <c r="F9" s="62">
        <v>1.0</v>
      </c>
      <c r="G9" s="56"/>
    </row>
    <row r="10" ht="12.0" customHeight="1">
      <c r="A10" s="63" t="s">
        <v>32</v>
      </c>
      <c r="B10" s="58">
        <f t="shared" si="1"/>
        <v>1.003268628</v>
      </c>
      <c r="C10" s="59">
        <v>519484.0</v>
      </c>
      <c r="D10" s="60">
        <v>521182.0</v>
      </c>
      <c r="E10" s="61"/>
      <c r="F10" s="62">
        <v>1.0</v>
      </c>
      <c r="G10" s="56"/>
    </row>
    <row r="11" ht="12.0" customHeight="1">
      <c r="A11" s="63" t="s">
        <v>33</v>
      </c>
      <c r="B11" s="58">
        <f t="shared" si="1"/>
        <v>1.086232403</v>
      </c>
      <c r="C11" s="59">
        <v>536724.0</v>
      </c>
      <c r="D11" s="60">
        <v>583007.0</v>
      </c>
      <c r="E11" s="61"/>
      <c r="F11" s="62">
        <v>1.0</v>
      </c>
      <c r="G11" s="56"/>
    </row>
    <row r="12" ht="12.0" customHeight="1">
      <c r="A12" s="63" t="s">
        <v>34</v>
      </c>
      <c r="B12" s="58">
        <f t="shared" si="1"/>
        <v>1.0210183</v>
      </c>
      <c r="C12" s="59">
        <v>561701.0</v>
      </c>
      <c r="D12" s="60">
        <v>573507.0</v>
      </c>
      <c r="E12" s="64" t="s">
        <v>8</v>
      </c>
      <c r="F12" s="62">
        <v>1.0</v>
      </c>
      <c r="G12" s="56"/>
    </row>
    <row r="13" ht="12.0" customHeight="1">
      <c r="A13" s="63" t="s">
        <v>35</v>
      </c>
      <c r="B13" s="58">
        <f t="shared" si="1"/>
        <v>0.8032454657</v>
      </c>
      <c r="C13" s="59">
        <v>549197.0</v>
      </c>
      <c r="D13" s="60">
        <v>441140.0</v>
      </c>
      <c r="E13" s="61"/>
      <c r="F13" s="62">
        <v>1.0</v>
      </c>
      <c r="G13" s="56"/>
    </row>
    <row r="14" ht="12.0" customHeight="1">
      <c r="A14" s="63" t="s">
        <v>36</v>
      </c>
      <c r="B14" s="58">
        <f t="shared" si="1"/>
        <v>0.9189549295</v>
      </c>
      <c r="C14" s="59">
        <v>537380.0</v>
      </c>
      <c r="D14" s="60">
        <v>493828.0</v>
      </c>
      <c r="E14" s="61"/>
      <c r="F14" s="62">
        <v>1.0</v>
      </c>
      <c r="G14" s="56"/>
    </row>
    <row r="15" ht="12.0" customHeight="1">
      <c r="A15" s="63" t="s">
        <v>37</v>
      </c>
      <c r="B15" s="58">
        <f t="shared" si="1"/>
        <v>0.7643884401</v>
      </c>
      <c r="C15" s="59">
        <v>512738.0</v>
      </c>
      <c r="D15" s="60">
        <v>391931.0</v>
      </c>
      <c r="E15" s="61"/>
      <c r="F15" s="62">
        <v>1.0</v>
      </c>
      <c r="G15" s="56"/>
    </row>
    <row r="16" ht="12.0" customHeight="1">
      <c r="A16" s="63" t="s">
        <v>38</v>
      </c>
      <c r="B16" s="58">
        <f t="shared" si="1"/>
        <v>0.4303564045</v>
      </c>
      <c r="C16" s="59">
        <v>420814.0</v>
      </c>
      <c r="D16" s="60">
        <v>181100.0</v>
      </c>
      <c r="E16" s="61"/>
      <c r="F16" s="62">
        <v>1.0</v>
      </c>
      <c r="G16" s="56"/>
    </row>
    <row r="17" ht="12.0" customHeight="1">
      <c r="A17" s="63" t="s">
        <v>39</v>
      </c>
      <c r="B17" s="65">
        <f t="shared" si="1"/>
        <v>0.6975213515</v>
      </c>
      <c r="C17" s="66">
        <v>416598.0</v>
      </c>
      <c r="D17" s="67">
        <v>290586.0</v>
      </c>
      <c r="E17" s="68"/>
      <c r="F17" s="69">
        <v>1.0</v>
      </c>
      <c r="G17" s="56"/>
    </row>
    <row r="18" ht="12.0" customHeight="1">
      <c r="A18" s="63" t="s">
        <v>40</v>
      </c>
      <c r="B18" s="70">
        <f t="shared" si="1"/>
        <v>0.5836698202</v>
      </c>
      <c r="C18" s="71">
        <v>409377.0</v>
      </c>
      <c r="D18" s="72">
        <v>238941.0</v>
      </c>
      <c r="E18" s="64"/>
      <c r="F18" s="73">
        <v>1.0</v>
      </c>
      <c r="G18" s="56"/>
    </row>
    <row r="19" ht="12.0" customHeight="1">
      <c r="A19" s="63" t="s">
        <v>41</v>
      </c>
      <c r="B19" s="58">
        <f t="shared" si="1"/>
        <v>0.660733545</v>
      </c>
      <c r="C19" s="59">
        <v>392205.0</v>
      </c>
      <c r="D19" s="60">
        <v>259143.0</v>
      </c>
      <c r="E19" s="61"/>
      <c r="F19" s="62">
        <v>1.0</v>
      </c>
      <c r="G19" s="56"/>
    </row>
    <row r="20" ht="12.0" customHeight="1">
      <c r="A20" s="63" t="s">
        <v>42</v>
      </c>
      <c r="B20" s="58">
        <f t="shared" si="1"/>
        <v>0.3205258772</v>
      </c>
      <c r="C20" s="59">
        <v>248423.0</v>
      </c>
      <c r="D20" s="60">
        <v>79626.0</v>
      </c>
      <c r="E20" s="61"/>
      <c r="F20" s="62">
        <v>1.0</v>
      </c>
      <c r="G20" s="56"/>
    </row>
    <row r="21" ht="12.0" customHeight="1">
      <c r="A21" s="63" t="s">
        <v>43</v>
      </c>
      <c r="B21" s="58">
        <f t="shared" si="1"/>
        <v>0.0002790298347</v>
      </c>
      <c r="C21" s="59">
        <v>46590.0</v>
      </c>
      <c r="D21" s="59">
        <v>13.0</v>
      </c>
      <c r="E21" s="61"/>
      <c r="F21" s="62">
        <v>1.0</v>
      </c>
      <c r="G21" s="56"/>
    </row>
    <row r="22" ht="12.0" customHeight="1">
      <c r="A22" s="63" t="s">
        <v>44</v>
      </c>
      <c r="B22" s="58">
        <f t="shared" si="1"/>
        <v>0.007321311088</v>
      </c>
      <c r="C22" s="59">
        <v>59279.0</v>
      </c>
      <c r="D22" s="59">
        <v>434.0</v>
      </c>
      <c r="E22" s="61"/>
      <c r="F22" s="62">
        <v>1.0</v>
      </c>
      <c r="G22" s="56"/>
    </row>
    <row r="23" ht="12.0" customHeight="1">
      <c r="A23" s="63" t="s">
        <v>45</v>
      </c>
      <c r="B23" s="58">
        <f t="shared" si="1"/>
        <v>0.01288056206</v>
      </c>
      <c r="C23" s="59">
        <v>99064.0</v>
      </c>
      <c r="D23" s="59">
        <v>1276.0</v>
      </c>
      <c r="E23" s="61"/>
      <c r="F23" s="62">
        <v>1.0</v>
      </c>
      <c r="G23" s="56"/>
    </row>
    <row r="24" ht="12.0" customHeight="1">
      <c r="A24" s="63" t="s">
        <v>46</v>
      </c>
      <c r="B24" s="58">
        <f t="shared" si="1"/>
        <v>0.06037228523</v>
      </c>
      <c r="C24" s="59">
        <v>221658.0</v>
      </c>
      <c r="D24" s="59">
        <v>13382.0</v>
      </c>
      <c r="E24" s="61"/>
      <c r="F24" s="62">
        <v>1.0</v>
      </c>
      <c r="G24" s="56"/>
    </row>
    <row r="25" ht="12.0" customHeight="1">
      <c r="A25" s="63" t="s">
        <v>47</v>
      </c>
      <c r="B25" s="58">
        <f t="shared" si="1"/>
        <v>0.06285044835</v>
      </c>
      <c r="C25" s="59">
        <v>271438.0</v>
      </c>
      <c r="D25" s="59">
        <v>17060.0</v>
      </c>
      <c r="E25" s="61"/>
      <c r="F25" s="62">
        <v>1.0</v>
      </c>
      <c r="G25" s="56"/>
    </row>
    <row r="26" ht="12.0" customHeight="1">
      <c r="A26" s="63" t="s">
        <v>48</v>
      </c>
      <c r="B26" s="58">
        <f t="shared" si="1"/>
        <v>0.03186373931</v>
      </c>
      <c r="C26" s="59">
        <v>236664.0</v>
      </c>
      <c r="D26" s="59">
        <v>7541.0</v>
      </c>
      <c r="E26" s="61"/>
      <c r="F26" s="62">
        <v>1.0</v>
      </c>
      <c r="G26" s="56"/>
    </row>
    <row r="27" ht="12.0" customHeight="1">
      <c r="A27" s="63" t="s">
        <v>49</v>
      </c>
      <c r="B27" s="58">
        <f t="shared" si="1"/>
        <v>0.04912378867</v>
      </c>
      <c r="C27" s="59">
        <v>207313.0</v>
      </c>
      <c r="D27" s="59">
        <v>10184.0</v>
      </c>
      <c r="E27" s="61"/>
      <c r="F27" s="62">
        <v>1.0</v>
      </c>
      <c r="G27" s="56"/>
    </row>
    <row r="28" ht="12.0" customHeight="1">
      <c r="A28" s="63" t="s">
        <v>50</v>
      </c>
      <c r="B28" s="58">
        <f t="shared" si="1"/>
        <v>0.0300607955</v>
      </c>
      <c r="C28" s="59">
        <v>139484.0</v>
      </c>
      <c r="D28" s="59">
        <v>4193.0</v>
      </c>
      <c r="E28" s="61"/>
      <c r="F28" s="62">
        <v>1.0</v>
      </c>
      <c r="G28" s="56"/>
    </row>
    <row r="29" ht="12.0" customHeight="1">
      <c r="A29" s="63" t="s">
        <v>51</v>
      </c>
      <c r="B29" s="65">
        <f t="shared" si="1"/>
        <v>0.03413424993</v>
      </c>
      <c r="C29" s="66">
        <v>151285.0</v>
      </c>
      <c r="D29" s="66">
        <v>5164.0</v>
      </c>
      <c r="E29" s="68"/>
      <c r="F29" s="74">
        <v>1.0</v>
      </c>
      <c r="G29" s="56"/>
    </row>
    <row r="30" ht="12.0" customHeight="1">
      <c r="A30" s="63" t="s">
        <v>52</v>
      </c>
      <c r="B30" s="70">
        <f t="shared" si="1"/>
        <v>0.1994497123</v>
      </c>
      <c r="C30" s="71">
        <v>135202.0</v>
      </c>
      <c r="D30" s="71">
        <v>26966.0</v>
      </c>
      <c r="E30" s="64"/>
      <c r="F30" s="75">
        <v>1.0</v>
      </c>
      <c r="G30" s="56"/>
    </row>
    <row r="31" ht="12.0" customHeight="1">
      <c r="A31" s="63" t="s">
        <v>53</v>
      </c>
      <c r="B31" s="58">
        <f t="shared" si="1"/>
        <v>0.1279542578</v>
      </c>
      <c r="C31" s="59">
        <v>111407.0</v>
      </c>
      <c r="D31" s="59">
        <v>14255.0</v>
      </c>
      <c r="E31" s="61"/>
      <c r="F31" s="76">
        <v>1.0</v>
      </c>
      <c r="G31" s="56"/>
    </row>
    <row r="32" ht="12.0" customHeight="1">
      <c r="A32" s="63" t="s">
        <v>54</v>
      </c>
      <c r="B32" s="58">
        <f t="shared" si="1"/>
        <v>0.02107712766</v>
      </c>
      <c r="C32" s="59">
        <v>135360.0</v>
      </c>
      <c r="D32" s="59">
        <v>2853.0</v>
      </c>
      <c r="E32" s="61"/>
      <c r="F32" s="76">
        <v>1.0</v>
      </c>
      <c r="G32" s="56"/>
    </row>
    <row r="33" ht="12.0" customHeight="1">
      <c r="A33" s="63" t="s">
        <v>55</v>
      </c>
      <c r="B33" s="58">
        <f t="shared" si="1"/>
        <v>0.01766868885</v>
      </c>
      <c r="C33" s="59">
        <v>150662.0</v>
      </c>
      <c r="D33" s="59">
        <v>2662.0</v>
      </c>
      <c r="E33" s="61"/>
      <c r="F33" s="76">
        <v>1.0</v>
      </c>
      <c r="G33" s="56"/>
    </row>
    <row r="34" ht="12.0" customHeight="1">
      <c r="A34" s="63" t="s">
        <v>56</v>
      </c>
      <c r="B34" s="58">
        <f t="shared" si="1"/>
        <v>0.05996091177</v>
      </c>
      <c r="C34" s="59">
        <v>182152.0</v>
      </c>
      <c r="D34" s="59">
        <v>10922.0</v>
      </c>
      <c r="E34" s="61"/>
      <c r="F34" s="76">
        <v>1.0</v>
      </c>
      <c r="G34" s="56"/>
    </row>
    <row r="35" ht="12.0" customHeight="1">
      <c r="A35" s="63" t="s">
        <v>57</v>
      </c>
      <c r="B35" s="58">
        <f t="shared" si="1"/>
        <v>0.08791610204</v>
      </c>
      <c r="C35" s="59">
        <v>254595.0</v>
      </c>
      <c r="D35" s="59">
        <v>22383.0</v>
      </c>
      <c r="E35" s="61"/>
      <c r="F35" s="76">
        <v>1.0</v>
      </c>
      <c r="G35" s="56"/>
    </row>
    <row r="36" ht="12.0" customHeight="1">
      <c r="A36" s="63" t="s">
        <v>58</v>
      </c>
      <c r="B36" s="58">
        <f t="shared" si="1"/>
        <v>0.2709018818</v>
      </c>
      <c r="C36" s="59">
        <v>361666.0</v>
      </c>
      <c r="D36" s="59">
        <v>97976.0</v>
      </c>
      <c r="E36" s="61"/>
      <c r="F36" s="76">
        <v>1.0</v>
      </c>
      <c r="G36" s="56"/>
    </row>
    <row r="37" ht="12.0" customHeight="1">
      <c r="A37" s="63" t="s">
        <v>59</v>
      </c>
      <c r="B37" s="58">
        <f t="shared" si="1"/>
        <v>0.4185031346</v>
      </c>
      <c r="C37" s="59">
        <v>387610.0</v>
      </c>
      <c r="D37" s="59">
        <v>162216.0</v>
      </c>
      <c r="E37" s="61"/>
      <c r="F37" s="76">
        <v>1.0</v>
      </c>
      <c r="G37" s="56"/>
    </row>
    <row r="38" ht="12.0" customHeight="1">
      <c r="A38" s="63" t="s">
        <v>60</v>
      </c>
      <c r="B38" s="58">
        <f t="shared" si="1"/>
        <v>0.312917098</v>
      </c>
      <c r="C38" s="59">
        <v>369967.0</v>
      </c>
      <c r="D38" s="59">
        <v>115769.0</v>
      </c>
      <c r="E38" s="61"/>
      <c r="F38" s="76">
        <v>1.0</v>
      </c>
      <c r="G38" s="56"/>
    </row>
    <row r="39" ht="12.0" customHeight="1">
      <c r="A39" s="63" t="s">
        <v>61</v>
      </c>
      <c r="B39" s="58">
        <f t="shared" si="1"/>
        <v>0.3980645179</v>
      </c>
      <c r="C39" s="59">
        <v>367247.0</v>
      </c>
      <c r="D39" s="59">
        <v>146188.0</v>
      </c>
      <c r="E39" s="61"/>
      <c r="F39" s="76">
        <v>1.0</v>
      </c>
      <c r="G39" s="56"/>
    </row>
    <row r="40" ht="12.0" customHeight="1">
      <c r="A40" s="63" t="s">
        <v>62</v>
      </c>
      <c r="B40" s="58">
        <f t="shared" si="1"/>
        <v>0.1785983164</v>
      </c>
      <c r="C40" s="59">
        <v>322769.0</v>
      </c>
      <c r="D40" s="59">
        <v>57646.0</v>
      </c>
      <c r="E40" s="61"/>
      <c r="F40" s="76">
        <v>1.0</v>
      </c>
      <c r="G40" s="56"/>
    </row>
    <row r="41" ht="12.0" customHeight="1">
      <c r="A41" s="63" t="s">
        <v>63</v>
      </c>
      <c r="B41" s="65">
        <f t="shared" si="1"/>
        <v>0.2396915079</v>
      </c>
      <c r="C41" s="66">
        <v>327788.0</v>
      </c>
      <c r="D41" s="66">
        <v>78568.0</v>
      </c>
      <c r="E41" s="68"/>
      <c r="F41" s="74">
        <v>1.0</v>
      </c>
      <c r="G41" s="56"/>
    </row>
    <row r="42" ht="12.0" customHeight="1">
      <c r="A42" s="63" t="s">
        <v>64</v>
      </c>
      <c r="B42" s="70">
        <f t="shared" si="1"/>
        <v>0.2563526473</v>
      </c>
      <c r="C42" s="71">
        <v>278624.0</v>
      </c>
      <c r="D42" s="71">
        <v>71426.0</v>
      </c>
      <c r="E42" s="64"/>
      <c r="F42" s="75">
        <v>1.0</v>
      </c>
      <c r="G42" s="56"/>
    </row>
    <row r="43" ht="12.0" customHeight="1">
      <c r="A43" s="63" t="s">
        <v>65</v>
      </c>
      <c r="B43" s="58">
        <f t="shared" si="1"/>
        <v>0.2187244146</v>
      </c>
      <c r="C43" s="59">
        <v>268708.0</v>
      </c>
      <c r="D43" s="59">
        <v>58773.0</v>
      </c>
      <c r="E43" s="61"/>
      <c r="F43" s="76">
        <v>1.0</v>
      </c>
      <c r="G43" s="56"/>
    </row>
    <row r="44" ht="12.0" customHeight="1">
      <c r="A44" s="63" t="s">
        <v>66</v>
      </c>
      <c r="B44" s="58">
        <f t="shared" si="1"/>
        <v>0.1144193886</v>
      </c>
      <c r="C44" s="59">
        <v>344120.0</v>
      </c>
      <c r="D44" s="59">
        <v>39374.0</v>
      </c>
      <c r="E44" s="61"/>
      <c r="F44" s="76">
        <v>1.0</v>
      </c>
      <c r="G44" s="77" t="s">
        <v>8</v>
      </c>
    </row>
    <row r="45" ht="12.0" customHeight="1">
      <c r="A45" s="63" t="s">
        <v>67</v>
      </c>
      <c r="B45" s="58">
        <f t="shared" si="1"/>
        <v>0.5851552376</v>
      </c>
      <c r="C45" s="59">
        <v>405894.0</v>
      </c>
      <c r="D45" s="59">
        <v>237511.0</v>
      </c>
      <c r="E45" s="61"/>
      <c r="F45" s="76">
        <v>1.0</v>
      </c>
      <c r="G45" s="56"/>
    </row>
    <row r="46" ht="12.0" customHeight="1">
      <c r="A46" s="63" t="s">
        <v>68</v>
      </c>
      <c r="B46" s="58">
        <f t="shared" si="1"/>
        <v>0.4712089547</v>
      </c>
      <c r="C46" s="59">
        <v>456965.0</v>
      </c>
      <c r="D46" s="59">
        <v>215326.0</v>
      </c>
      <c r="E46" s="61"/>
      <c r="F46" s="76">
        <v>1.0</v>
      </c>
      <c r="G46" s="56"/>
    </row>
    <row r="47" ht="12.0" customHeight="1">
      <c r="A47" s="63" t="s">
        <v>69</v>
      </c>
      <c r="B47" s="58">
        <f t="shared" si="1"/>
        <v>0.598623147</v>
      </c>
      <c r="C47" s="59">
        <v>470929.0</v>
      </c>
      <c r="D47" s="59">
        <v>281909.0</v>
      </c>
      <c r="E47" s="61"/>
      <c r="F47" s="76">
        <v>1.0</v>
      </c>
      <c r="G47" s="56"/>
    </row>
    <row r="48" ht="12.0" customHeight="1">
      <c r="A48" s="63" t="s">
        <v>70</v>
      </c>
      <c r="B48" s="58">
        <f t="shared" si="1"/>
        <v>0.5570558094</v>
      </c>
      <c r="C48" s="59">
        <v>491028.0</v>
      </c>
      <c r="D48" s="59">
        <v>273530.0</v>
      </c>
      <c r="E48" s="61"/>
      <c r="F48" s="76">
        <v>1.0</v>
      </c>
      <c r="G48" s="56"/>
    </row>
    <row r="49" ht="12.0" customHeight="1">
      <c r="A49" s="63" t="s">
        <v>71</v>
      </c>
      <c r="B49" s="58">
        <f t="shared" si="1"/>
        <v>0.5106954878</v>
      </c>
      <c r="C49" s="59">
        <v>489225.0</v>
      </c>
      <c r="D49" s="59">
        <v>249845.0</v>
      </c>
      <c r="E49" s="61"/>
      <c r="F49" s="76">
        <v>1.0</v>
      </c>
      <c r="G49" s="56"/>
    </row>
    <row r="50" ht="12.0" customHeight="1">
      <c r="A50" s="63" t="s">
        <v>72</v>
      </c>
      <c r="B50" s="58">
        <f t="shared" si="1"/>
        <v>0.4985608444</v>
      </c>
      <c r="C50" s="59">
        <v>471457.0</v>
      </c>
      <c r="D50" s="59">
        <v>235050.0</v>
      </c>
      <c r="E50" s="61"/>
      <c r="F50" s="76">
        <v>1.0</v>
      </c>
      <c r="G50" s="56"/>
    </row>
    <row r="51" ht="12.0" customHeight="1">
      <c r="A51" s="63" t="s">
        <v>73</v>
      </c>
      <c r="B51" s="58">
        <f t="shared" si="1"/>
        <v>0.7563564254</v>
      </c>
      <c r="C51" s="59">
        <v>455366.0</v>
      </c>
      <c r="D51" s="59">
        <v>344419.0</v>
      </c>
      <c r="E51" s="61"/>
      <c r="F51" s="76">
        <v>1.0</v>
      </c>
      <c r="G51" s="56"/>
    </row>
    <row r="52" ht="12.0" customHeight="1">
      <c r="A52" s="63" t="s">
        <v>74</v>
      </c>
      <c r="B52" s="58">
        <f t="shared" si="1"/>
        <v>0.5125664824</v>
      </c>
      <c r="C52" s="59">
        <v>364382.0</v>
      </c>
      <c r="D52" s="59">
        <v>186770.0</v>
      </c>
      <c r="E52" s="61"/>
      <c r="F52" s="76">
        <v>1.0</v>
      </c>
      <c r="G52" s="56"/>
    </row>
    <row r="53" ht="12.0" customHeight="1">
      <c r="A53" s="63" t="s">
        <v>75</v>
      </c>
      <c r="B53" s="65">
        <f t="shared" si="1"/>
        <v>0.5376507675</v>
      </c>
      <c r="C53" s="66">
        <v>364800.0</v>
      </c>
      <c r="D53" s="66">
        <v>196135.0</v>
      </c>
      <c r="E53" s="68"/>
      <c r="F53" s="74">
        <v>1.0</v>
      </c>
      <c r="G53" s="56"/>
    </row>
    <row r="54" ht="12.0" customHeight="1">
      <c r="A54" s="63" t="s">
        <v>76</v>
      </c>
      <c r="B54" s="70">
        <f t="shared" si="1"/>
        <v>0.3472566635</v>
      </c>
      <c r="C54" s="71">
        <v>349629.0</v>
      </c>
      <c r="D54" s="71">
        <v>121411.0</v>
      </c>
      <c r="E54" s="64"/>
      <c r="F54" s="75">
        <v>1.0</v>
      </c>
      <c r="G54" s="56"/>
    </row>
    <row r="55" ht="12.0" customHeight="1">
      <c r="A55" s="63" t="s">
        <v>77</v>
      </c>
      <c r="B55" s="58">
        <f t="shared" si="1"/>
        <v>0.4162402095</v>
      </c>
      <c r="C55" s="59">
        <v>332976.0</v>
      </c>
      <c r="D55" s="59">
        <v>138598.0</v>
      </c>
      <c r="E55" s="61"/>
      <c r="F55" s="76">
        <v>1.0</v>
      </c>
      <c r="G55" s="56"/>
    </row>
    <row r="56" ht="12.0" customHeight="1">
      <c r="A56" s="63" t="s">
        <v>78</v>
      </c>
      <c r="B56" s="58">
        <f t="shared" si="1"/>
        <v>0.5710448238</v>
      </c>
      <c r="C56" s="59">
        <v>388276.0</v>
      </c>
      <c r="D56" s="59">
        <v>221723.0</v>
      </c>
      <c r="E56" s="61"/>
      <c r="F56" s="76">
        <v>1.0</v>
      </c>
      <c r="G56" s="56"/>
    </row>
    <row r="57" ht="12.0" customHeight="1">
      <c r="A57" s="63" t="s">
        <v>79</v>
      </c>
      <c r="B57" s="58">
        <f t="shared" si="1"/>
        <v>0.9210266285</v>
      </c>
      <c r="C57" s="59">
        <v>434159.0</v>
      </c>
      <c r="D57" s="59">
        <v>399872.0</v>
      </c>
      <c r="E57" s="61"/>
      <c r="F57" s="76">
        <v>1.0</v>
      </c>
      <c r="G57" s="56"/>
    </row>
    <row r="58" ht="12.0" customHeight="1">
      <c r="A58" s="63" t="s">
        <v>80</v>
      </c>
      <c r="B58" s="58">
        <f t="shared" si="1"/>
        <v>1.466282503</v>
      </c>
      <c r="C58" s="59">
        <v>478268.0</v>
      </c>
      <c r="D58" s="59">
        <v>701276.0</v>
      </c>
      <c r="E58" s="61"/>
      <c r="F58" s="76">
        <v>1.0</v>
      </c>
      <c r="G58" s="56"/>
    </row>
    <row r="59" ht="12.0" customHeight="1">
      <c r="A59" s="63" t="s">
        <v>81</v>
      </c>
      <c r="B59" s="58">
        <f t="shared" si="1"/>
        <v>0.9911705435</v>
      </c>
      <c r="C59" s="59">
        <v>495727.0</v>
      </c>
      <c r="D59" s="59">
        <v>491350.0</v>
      </c>
      <c r="E59" s="61"/>
      <c r="F59" s="76">
        <v>1.0</v>
      </c>
      <c r="G59" s="56"/>
    </row>
    <row r="60" ht="12.0" customHeight="1">
      <c r="A60" s="63" t="s">
        <v>82</v>
      </c>
      <c r="B60" s="58">
        <f t="shared" si="1"/>
        <v>0.8224378053</v>
      </c>
      <c r="C60" s="59">
        <v>521789.0</v>
      </c>
      <c r="D60" s="59">
        <v>429139.0</v>
      </c>
      <c r="E60" s="61"/>
      <c r="F60" s="76">
        <v>1.0</v>
      </c>
      <c r="G60" s="56"/>
    </row>
    <row r="61" ht="12.0" customHeight="1">
      <c r="A61" s="63" t="s">
        <v>83</v>
      </c>
      <c r="B61" s="58">
        <f t="shared" si="1"/>
        <v>0.6666880419</v>
      </c>
      <c r="C61" s="59">
        <v>514614.0</v>
      </c>
      <c r="D61" s="59">
        <v>343087.0</v>
      </c>
      <c r="E61" s="61"/>
      <c r="F61" s="76">
        <v>1.0</v>
      </c>
      <c r="G61" s="56"/>
    </row>
    <row r="62" ht="12.0" customHeight="1">
      <c r="A62" s="63" t="s">
        <v>84</v>
      </c>
      <c r="B62" s="58">
        <f t="shared" si="1"/>
        <v>0.8185814859</v>
      </c>
      <c r="C62" s="59">
        <v>501553.0</v>
      </c>
      <c r="D62" s="59">
        <v>410562.0</v>
      </c>
      <c r="E62" s="61"/>
      <c r="F62" s="76">
        <v>1.0</v>
      </c>
      <c r="G62" s="56"/>
    </row>
    <row r="63" ht="12.0" customHeight="1">
      <c r="A63" s="63" t="s">
        <v>85</v>
      </c>
      <c r="B63" s="58">
        <f t="shared" si="1"/>
        <v>0.7048125903</v>
      </c>
      <c r="C63" s="59">
        <v>490983.0</v>
      </c>
      <c r="D63" s="59">
        <v>346051.0</v>
      </c>
      <c r="E63" s="61"/>
      <c r="F63" s="76">
        <v>1.0</v>
      </c>
      <c r="G63" s="56"/>
    </row>
    <row r="64" ht="12.0" customHeight="1">
      <c r="A64" s="63" t="s">
        <v>86</v>
      </c>
      <c r="B64" s="58">
        <f t="shared" si="1"/>
        <v>0.6567646309</v>
      </c>
      <c r="C64" s="59">
        <v>388203.0</v>
      </c>
      <c r="D64" s="59">
        <v>254958.0</v>
      </c>
      <c r="E64" s="61"/>
      <c r="F64" s="76">
        <v>1.0</v>
      </c>
      <c r="G64" s="56"/>
    </row>
    <row r="65" ht="13.5" customHeight="1">
      <c r="A65" s="63" t="s">
        <v>87</v>
      </c>
      <c r="B65" s="65">
        <f t="shared" si="1"/>
        <v>0.7885617301</v>
      </c>
      <c r="C65" s="66">
        <v>388870.0</v>
      </c>
      <c r="D65" s="66">
        <v>306648.0</v>
      </c>
      <c r="E65" s="68"/>
      <c r="F65" s="76">
        <v>1.0</v>
      </c>
      <c r="G65" s="56"/>
    </row>
    <row r="66" ht="12.0" customHeight="1">
      <c r="A66" s="63" t="s">
        <v>88</v>
      </c>
      <c r="B66" s="70">
        <f t="shared" si="1"/>
        <v>0.5802765311</v>
      </c>
      <c r="C66" s="71">
        <v>364733.0</v>
      </c>
      <c r="D66" s="71">
        <v>211646.0</v>
      </c>
      <c r="E66" s="64"/>
      <c r="F66" s="78">
        <v>1.0</v>
      </c>
      <c r="G66" s="56"/>
    </row>
    <row r="67" ht="12.0" customHeight="1">
      <c r="A67" s="63" t="s">
        <v>89</v>
      </c>
      <c r="B67" s="58">
        <f t="shared" si="1"/>
        <v>0.4014796117</v>
      </c>
      <c r="C67" s="59">
        <v>361311.0</v>
      </c>
      <c r="D67" s="59">
        <v>145059.0</v>
      </c>
      <c r="E67" s="61"/>
      <c r="F67" s="76">
        <v>1.0</v>
      </c>
      <c r="G67" s="56"/>
    </row>
    <row r="68" ht="12.0" customHeight="1">
      <c r="A68" s="63" t="s">
        <v>90</v>
      </c>
      <c r="B68" s="58">
        <f t="shared" si="1"/>
        <v>0.5925061206</v>
      </c>
      <c r="C68" s="59">
        <v>414178.0</v>
      </c>
      <c r="D68" s="59">
        <v>245403.0</v>
      </c>
      <c r="E68" s="61"/>
      <c r="F68" s="76">
        <v>1.0</v>
      </c>
      <c r="G68" s="56"/>
    </row>
    <row r="69" ht="12.0" customHeight="1">
      <c r="A69" s="63" t="s">
        <v>91</v>
      </c>
      <c r="B69" s="58">
        <f t="shared" si="1"/>
        <v>0.8002158757</v>
      </c>
      <c r="C69" s="59">
        <v>464156.0</v>
      </c>
      <c r="D69" s="59">
        <v>371425.0</v>
      </c>
      <c r="E69" s="61"/>
      <c r="F69" s="76">
        <v>1.0</v>
      </c>
      <c r="G69" s="56"/>
    </row>
    <row r="70" ht="12.0" customHeight="1">
      <c r="A70" s="63" t="s">
        <v>92</v>
      </c>
      <c r="B70" s="58">
        <f t="shared" si="1"/>
        <v>1.020134136</v>
      </c>
      <c r="C70" s="59">
        <v>510675.0</v>
      </c>
      <c r="D70" s="59">
        <v>520957.0</v>
      </c>
      <c r="E70" s="61"/>
      <c r="F70" s="76">
        <v>1.0</v>
      </c>
      <c r="G70" s="56"/>
    </row>
    <row r="71" ht="12.0" customHeight="1">
      <c r="A71" s="63" t="s">
        <v>93</v>
      </c>
      <c r="B71" s="58">
        <f t="shared" si="1"/>
        <v>0.9737072861</v>
      </c>
      <c r="C71" s="59">
        <v>522312.0</v>
      </c>
      <c r="D71" s="59">
        <v>508579.0</v>
      </c>
      <c r="E71" s="61"/>
      <c r="F71" s="76">
        <v>1.0</v>
      </c>
      <c r="G71" s="56"/>
    </row>
    <row r="72" ht="12.0" customHeight="1">
      <c r="A72" s="63" t="s">
        <v>94</v>
      </c>
      <c r="B72" s="58">
        <f t="shared" si="1"/>
        <v>0.991419055</v>
      </c>
      <c r="C72" s="59">
        <v>547026.0</v>
      </c>
      <c r="D72" s="59">
        <v>542332.0</v>
      </c>
      <c r="E72" s="61"/>
      <c r="F72" s="76">
        <v>1.0</v>
      </c>
      <c r="G72" s="56"/>
    </row>
    <row r="73" ht="12.0" customHeight="1">
      <c r="A73" s="63" t="s">
        <v>95</v>
      </c>
      <c r="B73" s="58">
        <f t="shared" si="1"/>
        <v>0.903572733</v>
      </c>
      <c r="C73" s="59">
        <v>539391.0</v>
      </c>
      <c r="D73" s="59">
        <v>487379.0</v>
      </c>
      <c r="E73" s="61"/>
      <c r="F73" s="76">
        <v>1.0</v>
      </c>
      <c r="G73" s="56"/>
    </row>
    <row r="74" ht="12.0" customHeight="1">
      <c r="A74" s="63" t="s">
        <v>96</v>
      </c>
      <c r="B74" s="58">
        <f t="shared" si="1"/>
        <v>1.1565054</v>
      </c>
      <c r="C74" s="59">
        <v>523688.0</v>
      </c>
      <c r="D74" s="59">
        <v>605648.0</v>
      </c>
      <c r="E74" s="61"/>
      <c r="F74" s="76">
        <v>1.0</v>
      </c>
      <c r="G74" s="56"/>
    </row>
    <row r="75" ht="12.0" customHeight="1">
      <c r="A75" s="63" t="s">
        <v>97</v>
      </c>
      <c r="B75" s="58">
        <f t="shared" si="1"/>
        <v>1.009426899</v>
      </c>
      <c r="C75" s="59">
        <v>506211.0</v>
      </c>
      <c r="D75" s="59">
        <v>510983.0</v>
      </c>
      <c r="E75" s="61"/>
      <c r="F75" s="76">
        <v>1.0</v>
      </c>
      <c r="G75" s="56"/>
    </row>
    <row r="76" ht="12.0" customHeight="1">
      <c r="A76" s="63" t="s">
        <v>98</v>
      </c>
      <c r="B76" s="58">
        <f t="shared" si="1"/>
        <v>1.117465078</v>
      </c>
      <c r="C76" s="59">
        <v>400817.0</v>
      </c>
      <c r="D76" s="59">
        <v>447899.0</v>
      </c>
      <c r="E76" s="61"/>
      <c r="F76" s="76">
        <v>1.0</v>
      </c>
      <c r="G76" s="56"/>
    </row>
    <row r="77" ht="13.5" customHeight="1">
      <c r="A77" s="63" t="s">
        <v>99</v>
      </c>
      <c r="B77" s="65">
        <f t="shared" si="1"/>
        <v>0.8080545055</v>
      </c>
      <c r="C77" s="66">
        <v>405537.0</v>
      </c>
      <c r="D77" s="66">
        <v>327696.0</v>
      </c>
      <c r="E77" s="68"/>
      <c r="F77" s="74">
        <v>1.0</v>
      </c>
      <c r="G77" s="56"/>
    </row>
    <row r="78" ht="13.5" customHeight="1">
      <c r="A78" s="79" t="s">
        <v>100</v>
      </c>
      <c r="B78" s="70">
        <f t="shared" si="1"/>
        <v>0.8366133624</v>
      </c>
      <c r="C78" s="71">
        <v>381145.0</v>
      </c>
      <c r="D78" s="71">
        <v>318871.0</v>
      </c>
      <c r="E78" s="64"/>
      <c r="F78" s="78">
        <v>1.0</v>
      </c>
      <c r="G78" s="56"/>
    </row>
    <row r="79" ht="13.5" customHeight="1">
      <c r="A79" s="79" t="s">
        <v>101</v>
      </c>
      <c r="B79" s="58">
        <f t="shared" si="1"/>
        <v>0.4741401481</v>
      </c>
      <c r="C79" s="59">
        <v>369395.0</v>
      </c>
      <c r="D79" s="59">
        <v>175145.0</v>
      </c>
      <c r="E79" s="61"/>
      <c r="F79" s="76">
        <v>1.0</v>
      </c>
      <c r="G79" s="56"/>
    </row>
    <row r="80" ht="13.5" customHeight="1">
      <c r="A80" s="79" t="s">
        <v>102</v>
      </c>
      <c r="B80" s="58">
        <f t="shared" si="1"/>
        <v>0.666698237</v>
      </c>
      <c r="C80" s="59">
        <v>432896.0</v>
      </c>
      <c r="D80" s="59">
        <v>288611.0</v>
      </c>
      <c r="E80" s="61"/>
      <c r="F80" s="76">
        <v>1.0</v>
      </c>
      <c r="G80" s="56"/>
    </row>
    <row r="81" ht="13.5" customHeight="1">
      <c r="A81" s="79" t="s">
        <v>103</v>
      </c>
      <c r="B81" s="58">
        <f t="shared" si="1"/>
        <v>0.7700071325</v>
      </c>
      <c r="C81" s="59">
        <v>485102.0</v>
      </c>
      <c r="D81" s="59">
        <v>373532.0</v>
      </c>
      <c r="E81" s="61"/>
      <c r="F81" s="76">
        <v>1.0</v>
      </c>
      <c r="G81" s="56"/>
    </row>
    <row r="82" ht="13.5" customHeight="1">
      <c r="A82" s="79" t="s">
        <v>104</v>
      </c>
      <c r="B82" s="58">
        <f t="shared" si="1"/>
        <v>1.109142081</v>
      </c>
      <c r="C82" s="59">
        <v>524793.0</v>
      </c>
      <c r="D82" s="59">
        <v>582070.0</v>
      </c>
      <c r="E82" s="61"/>
      <c r="F82" s="76">
        <v>1.0</v>
      </c>
      <c r="G82" s="56"/>
    </row>
    <row r="83" ht="13.5" customHeight="1">
      <c r="A83" s="79" t="s">
        <v>105</v>
      </c>
      <c r="B83" s="58">
        <f t="shared" si="1"/>
        <v>1.000558126</v>
      </c>
      <c r="C83" s="59">
        <v>537513.0</v>
      </c>
      <c r="D83" s="59">
        <v>537813.0</v>
      </c>
      <c r="E83" s="61"/>
      <c r="F83" s="76">
        <v>1.0</v>
      </c>
      <c r="G83" s="56"/>
    </row>
    <row r="84" ht="13.5" customHeight="1">
      <c r="A84" s="79" t="s">
        <v>106</v>
      </c>
      <c r="B84" s="58">
        <f t="shared" si="1"/>
        <v>1.286053787</v>
      </c>
      <c r="C84" s="59">
        <v>560066.0</v>
      </c>
      <c r="D84" s="59">
        <v>720275.0</v>
      </c>
      <c r="E84" s="61"/>
      <c r="F84" s="76">
        <v>1.0</v>
      </c>
      <c r="G84" s="56"/>
    </row>
    <row r="85" ht="13.5" customHeight="1">
      <c r="A85" s="79" t="s">
        <v>107</v>
      </c>
      <c r="B85" s="58">
        <f t="shared" si="1"/>
        <v>1.047664976</v>
      </c>
      <c r="C85" s="59">
        <v>555733.0</v>
      </c>
      <c r="D85" s="59">
        <v>582222.0</v>
      </c>
      <c r="E85" s="61"/>
      <c r="F85" s="76">
        <v>1.0</v>
      </c>
      <c r="G85" s="56"/>
    </row>
    <row r="86" ht="13.5" customHeight="1">
      <c r="A86" s="79" t="s">
        <v>108</v>
      </c>
      <c r="B86" s="58">
        <f t="shared" si="1"/>
        <v>1.197091687</v>
      </c>
      <c r="C86" s="59">
        <v>536806.0</v>
      </c>
      <c r="D86" s="59">
        <v>642606.0</v>
      </c>
      <c r="E86" s="61"/>
      <c r="F86" s="76">
        <v>1.0</v>
      </c>
      <c r="G86" s="56"/>
    </row>
    <row r="87" ht="13.5" customHeight="1">
      <c r="A87" s="79" t="s">
        <v>109</v>
      </c>
      <c r="B87" s="58">
        <f t="shared" si="1"/>
        <v>1.214074898</v>
      </c>
      <c r="C87" s="59">
        <v>524153.0</v>
      </c>
      <c r="D87" s="59">
        <v>636361.0</v>
      </c>
      <c r="E87" s="61"/>
      <c r="F87" s="76">
        <v>1.0</v>
      </c>
      <c r="G87" s="56"/>
    </row>
    <row r="88" ht="13.5" customHeight="1">
      <c r="A88" s="79" t="s">
        <v>110</v>
      </c>
      <c r="B88" s="58">
        <f t="shared" si="1"/>
        <v>0.8411490739</v>
      </c>
      <c r="C88" s="59">
        <v>415465.0</v>
      </c>
      <c r="D88" s="59">
        <v>349468.0</v>
      </c>
      <c r="E88" s="61"/>
      <c r="F88" s="76">
        <v>1.0</v>
      </c>
      <c r="G88" s="56"/>
    </row>
    <row r="89" ht="13.5" customHeight="1">
      <c r="A89" s="79" t="s">
        <v>111</v>
      </c>
      <c r="B89" s="65">
        <f t="shared" si="1"/>
        <v>0.9051887059</v>
      </c>
      <c r="C89" s="66">
        <v>425424.0</v>
      </c>
      <c r="D89" s="66">
        <v>385089.0</v>
      </c>
      <c r="E89" s="68"/>
      <c r="F89" s="74">
        <v>1.0</v>
      </c>
      <c r="G89" s="56"/>
    </row>
    <row r="90" ht="13.5" customHeight="1">
      <c r="A90" s="79" t="s">
        <v>112</v>
      </c>
      <c r="B90" s="70">
        <f t="shared" si="1"/>
        <v>1.073926095</v>
      </c>
      <c r="C90" s="71">
        <v>386440.0</v>
      </c>
      <c r="D90" s="71">
        <v>415008.0</v>
      </c>
      <c r="E90" s="64">
        <f>sum(D$90:D90)/sum(C$90:C90)</f>
        <v>1.073926095</v>
      </c>
      <c r="F90" s="78">
        <v>1.0</v>
      </c>
      <c r="G90" s="56"/>
    </row>
    <row r="91" ht="13.5" customHeight="1">
      <c r="A91" s="79" t="s">
        <v>113</v>
      </c>
      <c r="B91" s="58"/>
      <c r="C91" s="59"/>
      <c r="D91" s="59"/>
      <c r="E91" s="61"/>
      <c r="F91" s="76">
        <v>1.0</v>
      </c>
      <c r="G91" s="56"/>
    </row>
    <row r="92" ht="13.5" customHeight="1">
      <c r="A92" s="79" t="s">
        <v>114</v>
      </c>
      <c r="B92" s="58"/>
      <c r="C92" s="59"/>
      <c r="D92" s="59"/>
      <c r="E92" s="61"/>
      <c r="F92" s="76">
        <v>1.0</v>
      </c>
      <c r="G92" s="56"/>
    </row>
    <row r="93" ht="13.5" customHeight="1">
      <c r="A93" s="79" t="s">
        <v>115</v>
      </c>
      <c r="B93" s="58"/>
      <c r="C93" s="59"/>
      <c r="D93" s="59"/>
      <c r="E93" s="61"/>
      <c r="F93" s="76">
        <v>1.0</v>
      </c>
      <c r="G93" s="56"/>
    </row>
    <row r="94" ht="13.5" customHeight="1">
      <c r="A94" s="79" t="s">
        <v>116</v>
      </c>
      <c r="B94" s="58"/>
      <c r="C94" s="59"/>
      <c r="D94" s="59"/>
      <c r="E94" s="61"/>
      <c r="F94" s="76">
        <v>1.0</v>
      </c>
      <c r="G94" s="56"/>
    </row>
    <row r="95" ht="13.5" customHeight="1">
      <c r="A95" s="79" t="s">
        <v>117</v>
      </c>
      <c r="B95" s="58"/>
      <c r="C95" s="59"/>
      <c r="D95" s="59"/>
      <c r="E95" s="61"/>
      <c r="F95" s="76">
        <v>1.0</v>
      </c>
      <c r="G95" s="56"/>
    </row>
    <row r="96" ht="13.5" customHeight="1">
      <c r="A96" s="79" t="s">
        <v>118</v>
      </c>
      <c r="B96" s="58"/>
      <c r="C96" s="59"/>
      <c r="D96" s="59"/>
      <c r="E96" s="61"/>
      <c r="F96" s="76">
        <v>1.0</v>
      </c>
      <c r="G96" s="56"/>
    </row>
    <row r="97" ht="13.5" customHeight="1">
      <c r="A97" s="79" t="s">
        <v>119</v>
      </c>
      <c r="B97" s="58"/>
      <c r="C97" s="59"/>
      <c r="D97" s="59"/>
      <c r="E97" s="61"/>
      <c r="F97" s="76">
        <v>1.0</v>
      </c>
      <c r="G97" s="56"/>
    </row>
    <row r="98" ht="13.5" customHeight="1">
      <c r="A98" s="79" t="s">
        <v>120</v>
      </c>
      <c r="B98" s="58"/>
      <c r="C98" s="59"/>
      <c r="D98" s="59"/>
      <c r="E98" s="61"/>
      <c r="F98" s="76">
        <v>1.0</v>
      </c>
      <c r="G98" s="56"/>
    </row>
    <row r="99" ht="13.5" customHeight="1">
      <c r="A99" s="79" t="s">
        <v>121</v>
      </c>
      <c r="B99" s="58"/>
      <c r="C99" s="59"/>
      <c r="D99" s="59"/>
      <c r="E99" s="61"/>
      <c r="F99" s="76">
        <v>1.0</v>
      </c>
      <c r="G99" s="56"/>
    </row>
    <row r="100" ht="13.5" customHeight="1">
      <c r="A100" s="79" t="s">
        <v>122</v>
      </c>
      <c r="B100" s="58"/>
      <c r="C100" s="59"/>
      <c r="D100" s="59"/>
      <c r="E100" s="61"/>
      <c r="F100" s="76">
        <v>1.0</v>
      </c>
      <c r="G100" s="56"/>
    </row>
    <row r="101" ht="13.5" customHeight="1">
      <c r="A101" s="79" t="s">
        <v>123</v>
      </c>
      <c r="B101" s="65"/>
      <c r="C101" s="66"/>
      <c r="D101" s="66"/>
      <c r="E101" s="68"/>
      <c r="F101" s="74">
        <v>1.0</v>
      </c>
      <c r="G101" s="5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0"/>
    <col customWidth="1" min="2" max="2" width="13.88"/>
    <col customWidth="1" min="3" max="3" width="10.25"/>
    <col customWidth="1" min="4" max="4" width="16.25"/>
    <col customWidth="1" min="5" max="5" width="16.63"/>
    <col customWidth="1" min="6" max="6" width="18.38"/>
  </cols>
  <sheetData>
    <row r="1" ht="12.75" customHeight="1">
      <c r="A1" s="31" t="s">
        <v>0</v>
      </c>
      <c r="B1" s="32" t="s">
        <v>1</v>
      </c>
      <c r="C1" s="33" t="s">
        <v>2</v>
      </c>
      <c r="D1" s="34">
        <v>46023.0</v>
      </c>
      <c r="E1" s="35" t="s">
        <v>3</v>
      </c>
      <c r="F1" s="36" t="str">
        <f>HYPERLINK("https://www.eurocontrol.int/prudata/dashboard/metadata/airport-atfm-delay/","Airport ATFM delay")</f>
        <v>Airport ATFM delay</v>
      </c>
    </row>
    <row r="2" ht="12.75" customHeight="1">
      <c r="A2" s="38" t="s">
        <v>4</v>
      </c>
      <c r="B2" s="39">
        <f>APT_ATFM_SES_YY!B2</f>
        <v>46070</v>
      </c>
      <c r="C2" s="9" t="s">
        <v>5</v>
      </c>
      <c r="D2" s="10">
        <f>APT_ATFM_SES_YY!D2</f>
        <v>46053</v>
      </c>
      <c r="E2" s="40" t="s">
        <v>6</v>
      </c>
      <c r="F2" s="41" t="s">
        <v>7</v>
      </c>
    </row>
    <row r="3" ht="12.75" customHeight="1">
      <c r="A3" s="80"/>
      <c r="B3" s="80"/>
      <c r="C3" s="80"/>
      <c r="D3" s="80"/>
      <c r="E3" s="43"/>
      <c r="F3" s="43"/>
    </row>
    <row r="4" ht="12.75" customHeight="1">
      <c r="A4" s="81" t="str">
        <f>APT_ATFM_SES_YY!A4</f>
        <v>Period: JAN</v>
      </c>
      <c r="B4" s="82"/>
      <c r="C4" s="82"/>
      <c r="D4" s="83"/>
      <c r="E4" s="83"/>
      <c r="F4" s="84"/>
    </row>
    <row r="5" ht="12.75" customHeight="1">
      <c r="E5" s="86" t="s">
        <v>127</v>
      </c>
      <c r="F5" s="84"/>
    </row>
    <row r="6" ht="12.75" customHeight="1">
      <c r="E6" s="88">
        <f t="shared" ref="E6:E26" si="1">D6/C6</f>
        <v>0.6574764257</v>
      </c>
      <c r="F6" s="84"/>
    </row>
    <row r="7" ht="12.75" customHeight="1">
      <c r="E7" s="88">
        <f t="shared" si="1"/>
        <v>0.2010769449</v>
      </c>
      <c r="F7" s="84"/>
    </row>
    <row r="8" ht="12.75" customHeight="1">
      <c r="E8" s="88">
        <f t="shared" si="1"/>
        <v>5.706510139</v>
      </c>
      <c r="F8" s="84"/>
    </row>
    <row r="9" ht="12.75" customHeight="1">
      <c r="E9" s="88">
        <f t="shared" si="1"/>
        <v>0.9989351507</v>
      </c>
      <c r="F9" s="84"/>
    </row>
    <row r="10" ht="12.75" customHeight="1">
      <c r="E10" s="88">
        <f t="shared" si="1"/>
        <v>0.1270498328</v>
      </c>
      <c r="F10" s="84"/>
    </row>
    <row r="11" ht="12.75" customHeight="1">
      <c r="E11" s="88">
        <f t="shared" si="1"/>
        <v>1.170326037</v>
      </c>
      <c r="F11" s="84"/>
    </row>
    <row r="12" ht="12.75" customHeight="1">
      <c r="E12" s="88">
        <f t="shared" si="1"/>
        <v>0.4695124175</v>
      </c>
      <c r="F12" s="84"/>
    </row>
    <row r="13" ht="12.75" customHeight="1">
      <c r="E13" s="88">
        <f t="shared" si="1"/>
        <v>1.5699277</v>
      </c>
      <c r="F13" s="84"/>
    </row>
    <row r="14" ht="12.75" customHeight="1">
      <c r="E14" s="88">
        <f t="shared" si="1"/>
        <v>0.3333333333</v>
      </c>
      <c r="F14" s="84"/>
    </row>
    <row r="15" ht="12.75" customHeight="1">
      <c r="E15" s="88">
        <f t="shared" si="1"/>
        <v>0.4070498224</v>
      </c>
      <c r="F15" s="89" t="s">
        <v>8</v>
      </c>
    </row>
    <row r="16" ht="12.75" customHeight="1">
      <c r="E16" s="88">
        <f t="shared" si="1"/>
        <v>0.1174788232</v>
      </c>
      <c r="F16" s="84"/>
    </row>
    <row r="17" ht="12.75" customHeight="1">
      <c r="E17" s="88">
        <f t="shared" si="1"/>
        <v>0.6162988115</v>
      </c>
      <c r="F17" s="84"/>
    </row>
    <row r="18" ht="12.75" customHeight="1">
      <c r="E18" s="88">
        <f t="shared" si="1"/>
        <v>0.08961303462</v>
      </c>
      <c r="F18" s="84"/>
    </row>
    <row r="19" ht="12.75" customHeight="1">
      <c r="E19" s="88">
        <f t="shared" si="1"/>
        <v>8.173677611</v>
      </c>
      <c r="F19" s="84"/>
    </row>
    <row r="20" ht="12.75" customHeight="1">
      <c r="E20" s="88">
        <f t="shared" si="1"/>
        <v>0.4441236302</v>
      </c>
      <c r="F20" s="84"/>
    </row>
    <row r="21" ht="12.75" customHeight="1">
      <c r="E21" s="88">
        <f t="shared" si="1"/>
        <v>0.3537631508</v>
      </c>
      <c r="F21" s="84"/>
    </row>
    <row r="22" ht="12.75" customHeight="1">
      <c r="E22" s="88">
        <f t="shared" si="1"/>
        <v>0.9941122355</v>
      </c>
      <c r="F22" s="84"/>
    </row>
    <row r="23" ht="12.75" customHeight="1">
      <c r="E23" s="88">
        <f t="shared" si="1"/>
        <v>0</v>
      </c>
      <c r="F23" s="84"/>
    </row>
    <row r="24" ht="12.75" customHeight="1">
      <c r="E24" s="88">
        <f t="shared" si="1"/>
        <v>0.5065738284</v>
      </c>
      <c r="F24" s="89" t="s">
        <v>8</v>
      </c>
    </row>
    <row r="25" ht="12.75" customHeight="1">
      <c r="E25" s="88">
        <f t="shared" si="1"/>
        <v>1.127848646</v>
      </c>
      <c r="F25" s="84"/>
    </row>
    <row r="26" ht="12.75" customHeight="1">
      <c r="E26" s="88">
        <f t="shared" si="1"/>
        <v>2.362265258</v>
      </c>
      <c r="F26" s="84"/>
    </row>
    <row r="27" ht="12.75" customHeight="1">
      <c r="A27" s="56"/>
      <c r="B27" s="56"/>
      <c r="C27" s="56"/>
      <c r="D27" s="56"/>
      <c r="E27" s="90"/>
      <c r="F27" s="84"/>
    </row>
    <row r="28" ht="12.75" customHeight="1">
      <c r="A28" s="56"/>
      <c r="B28" s="56"/>
      <c r="C28" s="56"/>
      <c r="D28" s="56"/>
      <c r="E28" s="90"/>
      <c r="F28" s="84"/>
    </row>
    <row r="29" ht="12.75" customHeight="1">
      <c r="A29" s="56"/>
      <c r="B29" s="56"/>
      <c r="C29" s="56"/>
      <c r="D29" s="56"/>
      <c r="E29" s="90"/>
      <c r="F29" s="84"/>
    </row>
    <row r="30" ht="12.75" customHeight="1">
      <c r="A30" s="56"/>
      <c r="B30" s="56"/>
      <c r="C30" s="56"/>
      <c r="D30" s="56"/>
      <c r="E30" s="90"/>
      <c r="F30" s="84"/>
    </row>
    <row r="31" ht="12.75" customHeight="1">
      <c r="A31" s="56"/>
      <c r="B31" s="56"/>
      <c r="C31" s="56"/>
      <c r="D31" s="56"/>
      <c r="E31" s="90"/>
      <c r="F31" s="84"/>
    </row>
    <row r="32" ht="12.75" customHeight="1">
      <c r="A32" s="56"/>
      <c r="B32" s="56"/>
      <c r="C32" s="56"/>
      <c r="D32" s="56"/>
      <c r="E32" s="90"/>
      <c r="F32" s="84"/>
    </row>
    <row r="33" ht="12.75" customHeight="1">
      <c r="A33" s="56"/>
      <c r="B33" s="56"/>
      <c r="C33" s="56"/>
      <c r="D33" s="56"/>
      <c r="E33" s="90"/>
      <c r="F33" s="84"/>
    </row>
    <row r="34" ht="12.75" customHeight="1">
      <c r="A34" s="56"/>
      <c r="B34" s="56"/>
      <c r="C34" s="56"/>
      <c r="D34" s="56"/>
      <c r="E34" s="90"/>
      <c r="F34" s="84"/>
    </row>
    <row r="35" ht="12.75" customHeight="1">
      <c r="A35" s="56"/>
      <c r="B35" s="56"/>
      <c r="C35" s="56"/>
      <c r="D35" s="56"/>
      <c r="E35" s="90"/>
      <c r="F35" s="84"/>
    </row>
    <row r="36" ht="12.75" customHeight="1">
      <c r="A36" s="56"/>
      <c r="B36" s="56"/>
      <c r="C36" s="56"/>
      <c r="D36" s="56"/>
      <c r="E36" s="90"/>
      <c r="F36" s="84"/>
    </row>
    <row r="37" ht="12.75" customHeight="1">
      <c r="A37" s="56"/>
      <c r="B37" s="56"/>
      <c r="C37" s="56"/>
      <c r="D37" s="56"/>
      <c r="E37" s="90"/>
      <c r="F37" s="84"/>
    </row>
    <row r="38" ht="12.75" customHeight="1">
      <c r="A38" s="56"/>
      <c r="B38" s="56"/>
      <c r="C38" s="56"/>
      <c r="D38" s="56"/>
      <c r="E38" s="90"/>
      <c r="F38" s="84"/>
    </row>
    <row r="39" ht="12.75" customHeight="1">
      <c r="A39" s="56"/>
      <c r="B39" s="56"/>
      <c r="C39" s="56"/>
      <c r="D39" s="56"/>
      <c r="E39" s="90"/>
      <c r="F39" s="84"/>
    </row>
    <row r="40" ht="12.75" customHeight="1">
      <c r="A40" s="56"/>
      <c r="B40" s="56"/>
      <c r="C40" s="56"/>
      <c r="D40" s="56"/>
      <c r="E40" s="90"/>
      <c r="F40" s="84"/>
    </row>
    <row r="41" ht="12.75" customHeight="1">
      <c r="A41" s="56"/>
      <c r="B41" s="56"/>
      <c r="C41" s="56"/>
      <c r="D41" s="56"/>
      <c r="E41" s="90"/>
      <c r="F41" s="84"/>
    </row>
    <row r="42" ht="12.75" customHeight="1">
      <c r="A42" s="56"/>
      <c r="B42" s="56"/>
      <c r="C42" s="56"/>
      <c r="D42" s="56"/>
      <c r="E42" s="90"/>
      <c r="F42" s="84"/>
    </row>
    <row r="43" ht="12.75" customHeight="1">
      <c r="A43" s="56"/>
      <c r="B43" s="56"/>
      <c r="C43" s="56"/>
      <c r="D43" s="56"/>
      <c r="E43" s="90"/>
      <c r="F43" s="84"/>
    </row>
    <row r="44" ht="12.75" customHeight="1">
      <c r="A44" s="56"/>
      <c r="B44" s="56"/>
      <c r="C44" s="56"/>
      <c r="D44" s="56"/>
      <c r="E44" s="90"/>
      <c r="F44" s="84"/>
    </row>
    <row r="45" ht="12.75" customHeight="1">
      <c r="A45" s="56"/>
      <c r="B45" s="56"/>
      <c r="C45" s="56"/>
      <c r="D45" s="56"/>
      <c r="E45" s="90"/>
      <c r="F45" s="84"/>
    </row>
    <row r="46" ht="12.75" customHeight="1">
      <c r="A46" s="56"/>
      <c r="B46" s="56"/>
      <c r="C46" s="56"/>
      <c r="D46" s="56"/>
      <c r="E46" s="90"/>
      <c r="F46" s="84"/>
    </row>
    <row r="47" ht="12.75" customHeight="1">
      <c r="A47" s="56"/>
      <c r="B47" s="56"/>
      <c r="C47" s="56"/>
      <c r="D47" s="56"/>
      <c r="E47" s="90"/>
      <c r="F47" s="84"/>
    </row>
    <row r="48" ht="12.75" customHeight="1">
      <c r="A48" s="56"/>
      <c r="B48" s="56"/>
      <c r="C48" s="56"/>
      <c r="D48" s="56"/>
      <c r="E48" s="90"/>
      <c r="F48" s="84"/>
    </row>
    <row r="49" ht="12.75" customHeight="1">
      <c r="A49" s="56"/>
      <c r="B49" s="56"/>
      <c r="C49" s="56"/>
      <c r="D49" s="56"/>
      <c r="E49" s="90"/>
      <c r="F49" s="84"/>
    </row>
    <row r="50" ht="12.75" customHeight="1">
      <c r="A50" s="56"/>
      <c r="B50" s="56"/>
      <c r="C50" s="56"/>
      <c r="D50" s="56"/>
      <c r="E50" s="90"/>
      <c r="F50" s="84"/>
    </row>
    <row r="51" ht="12.75" customHeight="1">
      <c r="A51" s="56"/>
      <c r="B51" s="56"/>
      <c r="C51" s="56"/>
      <c r="D51" s="56"/>
      <c r="E51" s="90"/>
      <c r="F51" s="84"/>
    </row>
    <row r="52" ht="12.75" customHeight="1">
      <c r="A52" s="56"/>
      <c r="B52" s="56"/>
      <c r="C52" s="56"/>
      <c r="D52" s="56"/>
      <c r="E52" s="90"/>
      <c r="F52" s="84"/>
    </row>
    <row r="53" ht="12.75" customHeight="1">
      <c r="A53" s="56"/>
      <c r="B53" s="56"/>
      <c r="C53" s="56"/>
      <c r="D53" s="56"/>
      <c r="E53" s="90"/>
      <c r="F53" s="84"/>
    </row>
    <row r="54" ht="12.75" customHeight="1">
      <c r="A54" s="56"/>
      <c r="B54" s="56"/>
      <c r="C54" s="56"/>
      <c r="D54" s="56"/>
      <c r="E54" s="90"/>
      <c r="F54" s="84"/>
    </row>
    <row r="55" ht="12.75" customHeight="1">
      <c r="A55" s="56"/>
      <c r="B55" s="56"/>
      <c r="C55" s="56"/>
      <c r="D55" s="56"/>
      <c r="E55" s="90"/>
      <c r="F55" s="84"/>
    </row>
    <row r="56" ht="12.75" customHeight="1">
      <c r="A56" s="56"/>
      <c r="B56" s="56"/>
      <c r="C56" s="56"/>
      <c r="D56" s="56"/>
      <c r="E56" s="90"/>
      <c r="F56" s="84"/>
    </row>
    <row r="57" ht="12.75" customHeight="1">
      <c r="A57" s="56"/>
      <c r="B57" s="56"/>
      <c r="C57" s="56"/>
      <c r="D57" s="56"/>
      <c r="E57" s="90"/>
      <c r="F57" s="84"/>
    </row>
    <row r="58" ht="12.75" customHeight="1">
      <c r="A58" s="56"/>
      <c r="B58" s="56"/>
      <c r="C58" s="56"/>
      <c r="D58" s="56"/>
      <c r="E58" s="90"/>
      <c r="F58" s="84"/>
    </row>
    <row r="59" ht="12.75" customHeight="1">
      <c r="A59" s="56"/>
      <c r="B59" s="56"/>
      <c r="C59" s="56"/>
      <c r="D59" s="56"/>
      <c r="E59" s="90"/>
      <c r="F59" s="84"/>
    </row>
    <row r="60" ht="12.75" customHeight="1">
      <c r="A60" s="56"/>
      <c r="B60" s="56"/>
      <c r="C60" s="56"/>
      <c r="D60" s="56"/>
      <c r="E60" s="90"/>
      <c r="F60" s="84"/>
    </row>
    <row r="61" ht="12.75" customHeight="1">
      <c r="A61" s="56"/>
      <c r="B61" s="56"/>
      <c r="C61" s="56"/>
      <c r="D61" s="56"/>
      <c r="E61" s="90"/>
      <c r="F61" s="84"/>
    </row>
    <row r="62" ht="12.75" customHeight="1">
      <c r="A62" s="56"/>
      <c r="B62" s="56"/>
      <c r="C62" s="56"/>
      <c r="D62" s="56"/>
      <c r="E62" s="90"/>
      <c r="F62" s="84"/>
    </row>
    <row r="63" ht="12.75" customHeight="1">
      <c r="A63" s="56"/>
      <c r="B63" s="56"/>
      <c r="C63" s="56"/>
      <c r="D63" s="56"/>
      <c r="E63" s="90"/>
      <c r="F63" s="84"/>
    </row>
    <row r="64" ht="12.75" customHeight="1">
      <c r="A64" s="56"/>
      <c r="B64" s="56"/>
      <c r="C64" s="56"/>
      <c r="D64" s="56"/>
      <c r="E64" s="90"/>
      <c r="F64" s="84"/>
    </row>
    <row r="65" ht="12.75" customHeight="1">
      <c r="A65" s="56"/>
      <c r="B65" s="56"/>
      <c r="C65" s="56"/>
      <c r="D65" s="56"/>
      <c r="E65" s="90"/>
      <c r="F65" s="84"/>
    </row>
    <row r="66" ht="12.75" customHeight="1">
      <c r="A66" s="56"/>
      <c r="B66" s="56"/>
      <c r="C66" s="56"/>
      <c r="D66" s="56"/>
      <c r="E66" s="90"/>
      <c r="F66" s="84"/>
    </row>
    <row r="67" ht="12.75" customHeight="1">
      <c r="A67" s="56"/>
      <c r="B67" s="56"/>
      <c r="C67" s="56"/>
      <c r="D67" s="56"/>
      <c r="E67" s="90"/>
      <c r="F67" s="84"/>
    </row>
    <row r="68" ht="12.75" customHeight="1">
      <c r="A68" s="56"/>
      <c r="B68" s="56"/>
      <c r="C68" s="56"/>
      <c r="D68" s="56"/>
      <c r="E68" s="90"/>
      <c r="F68" s="84"/>
    </row>
    <row r="69" ht="12.75" customHeight="1">
      <c r="A69" s="56"/>
      <c r="B69" s="56"/>
      <c r="C69" s="56"/>
      <c r="D69" s="56"/>
      <c r="E69" s="90"/>
      <c r="F69" s="84"/>
    </row>
    <row r="70" ht="12.75" customHeight="1">
      <c r="A70" s="56"/>
      <c r="B70" s="56"/>
      <c r="C70" s="56"/>
      <c r="D70" s="56"/>
      <c r="E70" s="90"/>
      <c r="F70" s="84"/>
    </row>
    <row r="71" ht="12.75" customHeight="1">
      <c r="A71" s="56"/>
      <c r="B71" s="56"/>
      <c r="C71" s="56"/>
      <c r="D71" s="56"/>
      <c r="E71" s="90"/>
      <c r="F71" s="84"/>
    </row>
    <row r="72" ht="12.75" customHeight="1">
      <c r="A72" s="56"/>
      <c r="B72" s="56"/>
      <c r="C72" s="56"/>
      <c r="D72" s="56"/>
      <c r="E72" s="90"/>
      <c r="F72" s="84"/>
    </row>
    <row r="73" ht="12.75" customHeight="1">
      <c r="A73" s="56"/>
      <c r="B73" s="56"/>
      <c r="C73" s="56"/>
      <c r="D73" s="56"/>
      <c r="E73" s="90"/>
      <c r="F73" s="84"/>
    </row>
    <row r="74" ht="12.75" customHeight="1">
      <c r="A74" s="56"/>
      <c r="B74" s="56"/>
      <c r="C74" s="56"/>
      <c r="D74" s="56"/>
      <c r="E74" s="90"/>
      <c r="F74" s="84"/>
    </row>
    <row r="75" ht="12.75" customHeight="1">
      <c r="A75" s="56"/>
      <c r="B75" s="56"/>
      <c r="C75" s="56"/>
      <c r="D75" s="56"/>
      <c r="E75" s="90"/>
      <c r="F75" s="84"/>
    </row>
    <row r="76" ht="12.75" customHeight="1">
      <c r="A76" s="56"/>
      <c r="B76" s="56"/>
      <c r="C76" s="56"/>
      <c r="D76" s="56"/>
      <c r="E76" s="90"/>
      <c r="F76" s="84"/>
    </row>
    <row r="77" ht="12.75" customHeight="1">
      <c r="A77" s="56"/>
      <c r="B77" s="56"/>
      <c r="C77" s="56"/>
      <c r="D77" s="56"/>
      <c r="E77" s="90"/>
      <c r="F77" s="84"/>
    </row>
    <row r="78" ht="12.75" customHeight="1">
      <c r="A78" s="56"/>
      <c r="B78" s="56"/>
      <c r="C78" s="56"/>
      <c r="D78" s="56"/>
      <c r="E78" s="90"/>
      <c r="F78" s="84"/>
    </row>
    <row r="79" ht="12.75" customHeight="1">
      <c r="A79" s="56"/>
      <c r="B79" s="56"/>
      <c r="C79" s="56"/>
      <c r="D79" s="56"/>
      <c r="E79" s="90"/>
      <c r="F79" s="84"/>
    </row>
    <row r="80" ht="12.75" customHeight="1">
      <c r="A80" s="56"/>
      <c r="B80" s="56"/>
      <c r="C80" s="56"/>
      <c r="D80" s="56"/>
      <c r="E80" s="90"/>
      <c r="F80" s="84"/>
    </row>
    <row r="81" ht="12.75" customHeight="1">
      <c r="A81" s="56"/>
      <c r="B81" s="56"/>
      <c r="C81" s="56"/>
      <c r="D81" s="56"/>
      <c r="E81" s="90"/>
      <c r="F81" s="84"/>
    </row>
    <row r="82" ht="12.75" customHeight="1">
      <c r="A82" s="56"/>
      <c r="B82" s="56"/>
      <c r="C82" s="56"/>
      <c r="D82" s="56"/>
      <c r="E82" s="90"/>
      <c r="F82" s="84"/>
    </row>
    <row r="83" ht="12.75" customHeight="1">
      <c r="A83" s="56"/>
      <c r="B83" s="56"/>
      <c r="C83" s="56"/>
      <c r="D83" s="56"/>
      <c r="E83" s="90"/>
      <c r="F83" s="84"/>
    </row>
    <row r="84" ht="12.75" customHeight="1">
      <c r="A84" s="56"/>
      <c r="B84" s="56"/>
      <c r="C84" s="56"/>
      <c r="D84" s="56"/>
      <c r="E84" s="90"/>
      <c r="F84" s="84"/>
    </row>
    <row r="85" ht="12.75" customHeight="1">
      <c r="A85" s="56"/>
      <c r="B85" s="56"/>
      <c r="C85" s="56"/>
      <c r="D85" s="56"/>
      <c r="E85" s="90"/>
      <c r="F85" s="84"/>
    </row>
    <row r="86" ht="12.75" customHeight="1">
      <c r="A86" s="56"/>
      <c r="B86" s="56"/>
      <c r="C86" s="56"/>
      <c r="D86" s="56"/>
      <c r="E86" s="90"/>
      <c r="F86" s="84"/>
    </row>
    <row r="87" ht="12.75" customHeight="1">
      <c r="A87" s="56"/>
      <c r="B87" s="56"/>
      <c r="C87" s="56"/>
      <c r="D87" s="56"/>
      <c r="E87" s="90"/>
      <c r="F87" s="84"/>
    </row>
    <row r="88" ht="12.75" customHeight="1">
      <c r="A88" s="56"/>
      <c r="B88" s="56"/>
      <c r="C88" s="56"/>
      <c r="D88" s="56"/>
      <c r="E88" s="90"/>
      <c r="F88" s="84"/>
    </row>
    <row r="89" ht="12.75" customHeight="1">
      <c r="A89" s="56"/>
      <c r="B89" s="56"/>
      <c r="C89" s="56"/>
      <c r="D89" s="56"/>
      <c r="E89" s="90"/>
      <c r="F89" s="84"/>
    </row>
    <row r="90" ht="12.75" customHeight="1">
      <c r="A90" s="56"/>
      <c r="B90" s="56"/>
      <c r="C90" s="56"/>
      <c r="D90" s="56"/>
      <c r="E90" s="90"/>
      <c r="F90" s="84"/>
    </row>
    <row r="91" ht="12.75" customHeight="1">
      <c r="A91" s="56"/>
      <c r="B91" s="56"/>
      <c r="C91" s="56"/>
      <c r="D91" s="56"/>
      <c r="E91" s="90"/>
      <c r="F91" s="84"/>
    </row>
    <row r="92" ht="12.75" customHeight="1">
      <c r="A92" s="56"/>
      <c r="B92" s="56"/>
      <c r="C92" s="56"/>
      <c r="D92" s="56"/>
      <c r="E92" s="90"/>
      <c r="F92" s="84"/>
    </row>
    <row r="93" ht="12.75" customHeight="1">
      <c r="A93" s="56"/>
      <c r="B93" s="56"/>
      <c r="C93" s="56"/>
      <c r="D93" s="56"/>
      <c r="E93" s="90"/>
      <c r="F93" s="84"/>
    </row>
    <row r="94" ht="12.75" customHeight="1">
      <c r="A94" s="56"/>
      <c r="B94" s="56"/>
      <c r="C94" s="56"/>
      <c r="D94" s="56"/>
      <c r="E94" s="90"/>
      <c r="F94" s="84"/>
    </row>
    <row r="95" ht="12.75" customHeight="1">
      <c r="A95" s="56"/>
      <c r="B95" s="56"/>
      <c r="C95" s="56"/>
      <c r="D95" s="56"/>
      <c r="E95" s="90"/>
      <c r="F95" s="84"/>
    </row>
    <row r="96" ht="12.75" customHeight="1">
      <c r="A96" s="56"/>
      <c r="B96" s="56"/>
      <c r="C96" s="56"/>
      <c r="D96" s="56"/>
      <c r="E96" s="90"/>
      <c r="F96" s="84"/>
    </row>
    <row r="97" ht="12.75" customHeight="1">
      <c r="A97" s="56"/>
      <c r="B97" s="56"/>
      <c r="C97" s="56"/>
      <c r="D97" s="56"/>
      <c r="E97" s="90"/>
      <c r="F97" s="84"/>
    </row>
    <row r="98" ht="12.75" customHeight="1">
      <c r="A98" s="56"/>
      <c r="B98" s="56"/>
      <c r="C98" s="56"/>
      <c r="D98" s="56"/>
      <c r="E98" s="90"/>
      <c r="F98" s="84"/>
    </row>
    <row r="99" ht="12.75" customHeight="1">
      <c r="A99" s="56"/>
      <c r="B99" s="56"/>
      <c r="C99" s="56"/>
      <c r="D99" s="56"/>
      <c r="E99" s="90"/>
      <c r="F99" s="84"/>
    </row>
    <row r="100" ht="12.75" customHeight="1">
      <c r="A100" s="56"/>
      <c r="B100" s="56"/>
      <c r="C100" s="56"/>
      <c r="D100" s="56"/>
      <c r="E100" s="90"/>
      <c r="F100" s="84"/>
    </row>
    <row r="101" ht="12.75" customHeight="1">
      <c r="A101" s="56"/>
      <c r="B101" s="56"/>
      <c r="C101" s="56"/>
      <c r="D101" s="56"/>
      <c r="E101" s="90"/>
      <c r="F101" s="84"/>
    </row>
    <row r="102" ht="12.75" customHeight="1">
      <c r="A102" s="56"/>
      <c r="B102" s="56"/>
      <c r="C102" s="56"/>
      <c r="D102" s="56"/>
      <c r="E102" s="90"/>
      <c r="F102" s="84"/>
    </row>
    <row r="103" ht="12.75" customHeight="1">
      <c r="A103" s="56"/>
      <c r="B103" s="56"/>
      <c r="C103" s="56"/>
      <c r="D103" s="56"/>
      <c r="E103" s="90"/>
      <c r="F103" s="84"/>
    </row>
    <row r="104" ht="12.75" customHeight="1">
      <c r="A104" s="56"/>
      <c r="B104" s="56"/>
      <c r="C104" s="56"/>
      <c r="D104" s="56"/>
      <c r="E104" s="90"/>
      <c r="F104" s="84"/>
    </row>
    <row r="105" ht="12.75" customHeight="1">
      <c r="A105" s="56"/>
      <c r="B105" s="56"/>
      <c r="C105" s="56"/>
      <c r="D105" s="56"/>
      <c r="E105" s="90"/>
      <c r="F105" s="84"/>
    </row>
    <row r="106" ht="12.75" customHeight="1">
      <c r="A106" s="56"/>
      <c r="B106" s="56"/>
      <c r="C106" s="56"/>
      <c r="D106" s="56"/>
      <c r="E106" s="90"/>
      <c r="F106" s="84"/>
    </row>
    <row r="107" ht="12.75" customHeight="1">
      <c r="A107" s="56"/>
      <c r="B107" s="56"/>
      <c r="C107" s="56"/>
      <c r="D107" s="56"/>
      <c r="E107" s="90"/>
      <c r="F107" s="84"/>
    </row>
    <row r="108" ht="12.75" customHeight="1">
      <c r="A108" s="56"/>
      <c r="B108" s="56"/>
      <c r="C108" s="56"/>
      <c r="D108" s="56"/>
      <c r="E108" s="90"/>
      <c r="F108" s="84"/>
    </row>
    <row r="109" ht="12.75" customHeight="1">
      <c r="A109" s="56"/>
      <c r="B109" s="56"/>
      <c r="C109" s="56"/>
      <c r="D109" s="56"/>
      <c r="E109" s="90"/>
      <c r="F109" s="84"/>
    </row>
    <row r="110" ht="12.75" customHeight="1">
      <c r="A110" s="56"/>
      <c r="B110" s="56"/>
      <c r="C110" s="56"/>
      <c r="D110" s="56"/>
      <c r="E110" s="90"/>
      <c r="F110" s="84"/>
    </row>
    <row r="111" ht="12.75" customHeight="1">
      <c r="A111" s="56"/>
      <c r="B111" s="56"/>
      <c r="C111" s="56"/>
      <c r="D111" s="56"/>
      <c r="E111" s="90"/>
      <c r="F111" s="84"/>
    </row>
    <row r="112" ht="12.75" customHeight="1">
      <c r="A112" s="56"/>
      <c r="B112" s="56"/>
      <c r="C112" s="56"/>
      <c r="D112" s="56"/>
      <c r="E112" s="90"/>
      <c r="F112" s="84"/>
    </row>
    <row r="113" ht="12.75" customHeight="1">
      <c r="A113" s="56"/>
      <c r="B113" s="56"/>
      <c r="C113" s="56"/>
      <c r="D113" s="56"/>
      <c r="E113" s="90"/>
      <c r="F113" s="84"/>
    </row>
    <row r="114" ht="12.75" customHeight="1">
      <c r="A114" s="56"/>
      <c r="B114" s="56"/>
      <c r="C114" s="56"/>
      <c r="D114" s="56"/>
      <c r="E114" s="90"/>
      <c r="F114" s="84"/>
    </row>
    <row r="115" ht="12.75" customHeight="1">
      <c r="A115" s="56"/>
      <c r="B115" s="56"/>
      <c r="C115" s="56"/>
      <c r="D115" s="56"/>
      <c r="E115" s="90"/>
      <c r="F115" s="84"/>
    </row>
    <row r="116" ht="12.75" customHeight="1">
      <c r="A116" s="56"/>
      <c r="B116" s="56"/>
      <c r="C116" s="56"/>
      <c r="D116" s="56"/>
      <c r="E116" s="90"/>
      <c r="F116" s="84"/>
    </row>
    <row r="117" ht="12.75" customHeight="1">
      <c r="A117" s="56"/>
      <c r="B117" s="56"/>
      <c r="C117" s="56"/>
      <c r="D117" s="56"/>
      <c r="E117" s="90"/>
      <c r="F117" s="84"/>
    </row>
    <row r="118" ht="12.75" customHeight="1">
      <c r="A118" s="56"/>
      <c r="B118" s="56"/>
      <c r="C118" s="56"/>
      <c r="D118" s="56"/>
      <c r="E118" s="90"/>
      <c r="F118" s="84"/>
    </row>
    <row r="119" ht="12.75" customHeight="1">
      <c r="A119" s="56"/>
      <c r="B119" s="56"/>
      <c r="C119" s="56"/>
      <c r="D119" s="56"/>
      <c r="E119" s="90"/>
      <c r="F119" s="84"/>
    </row>
    <row r="120" ht="12.75" customHeight="1">
      <c r="A120" s="56"/>
      <c r="B120" s="56"/>
      <c r="C120" s="56"/>
      <c r="D120" s="56"/>
      <c r="E120" s="90"/>
      <c r="F120" s="84"/>
    </row>
    <row r="121" ht="12.75" customHeight="1">
      <c r="A121" s="56"/>
      <c r="B121" s="56"/>
      <c r="C121" s="56"/>
      <c r="D121" s="56"/>
      <c r="E121" s="90"/>
      <c r="F121" s="84"/>
    </row>
    <row r="122" ht="12.75" customHeight="1">
      <c r="A122" s="56"/>
      <c r="B122" s="56"/>
      <c r="C122" s="56"/>
      <c r="D122" s="56"/>
      <c r="E122" s="90"/>
      <c r="F122" s="84"/>
    </row>
    <row r="123" ht="12.75" customHeight="1">
      <c r="A123" s="56"/>
      <c r="B123" s="56"/>
      <c r="C123" s="56"/>
      <c r="D123" s="56"/>
      <c r="E123" s="90"/>
      <c r="F123" s="84"/>
    </row>
    <row r="124" ht="12.75" customHeight="1">
      <c r="A124" s="56"/>
      <c r="B124" s="56"/>
      <c r="C124" s="56"/>
      <c r="D124" s="56"/>
      <c r="E124" s="90"/>
      <c r="F124" s="84"/>
    </row>
    <row r="125" ht="12.75" customHeight="1">
      <c r="A125" s="56"/>
      <c r="B125" s="56"/>
      <c r="C125" s="56"/>
      <c r="D125" s="56"/>
      <c r="E125" s="90"/>
      <c r="F125" s="84"/>
    </row>
    <row r="126" ht="12.75" customHeight="1">
      <c r="A126" s="56"/>
      <c r="B126" s="56"/>
      <c r="C126" s="56"/>
      <c r="D126" s="56"/>
      <c r="E126" s="90"/>
      <c r="F126" s="84"/>
    </row>
    <row r="127" ht="12.75" customHeight="1">
      <c r="A127" s="56"/>
      <c r="B127" s="56"/>
      <c r="C127" s="56"/>
      <c r="D127" s="56"/>
      <c r="E127" s="90"/>
      <c r="F127" s="84"/>
    </row>
    <row r="128" ht="12.75" customHeight="1">
      <c r="A128" s="56"/>
      <c r="B128" s="56"/>
      <c r="C128" s="56"/>
      <c r="D128" s="56"/>
      <c r="E128" s="90"/>
      <c r="F128" s="84"/>
    </row>
    <row r="129" ht="12.75" customHeight="1">
      <c r="A129" s="56"/>
      <c r="B129" s="56"/>
      <c r="C129" s="56"/>
      <c r="D129" s="56"/>
      <c r="E129" s="90"/>
      <c r="F129" s="84"/>
    </row>
    <row r="130" ht="12.75" customHeight="1">
      <c r="A130" s="56"/>
      <c r="B130" s="56"/>
      <c r="C130" s="56"/>
      <c r="D130" s="56"/>
      <c r="E130" s="90"/>
      <c r="F130" s="84"/>
    </row>
    <row r="131" ht="12.75" customHeight="1">
      <c r="A131" s="56"/>
      <c r="B131" s="56"/>
      <c r="C131" s="56"/>
      <c r="D131" s="56"/>
      <c r="E131" s="90"/>
      <c r="F131" s="84"/>
    </row>
    <row r="132" ht="12.75" customHeight="1">
      <c r="A132" s="56"/>
      <c r="B132" s="56"/>
      <c r="C132" s="56"/>
      <c r="D132" s="56"/>
      <c r="E132" s="90"/>
      <c r="F132" s="84"/>
    </row>
    <row r="133" ht="12.75" customHeight="1">
      <c r="A133" s="56"/>
      <c r="B133" s="56"/>
      <c r="C133" s="56"/>
      <c r="D133" s="56"/>
      <c r="E133" s="90"/>
      <c r="F133" s="84"/>
    </row>
    <row r="134" ht="12.75" customHeight="1">
      <c r="A134" s="56"/>
      <c r="B134" s="56"/>
      <c r="C134" s="56"/>
      <c r="D134" s="56"/>
      <c r="E134" s="90"/>
      <c r="F134" s="84"/>
    </row>
    <row r="135" ht="12.75" customHeight="1">
      <c r="A135" s="56"/>
      <c r="B135" s="56"/>
      <c r="C135" s="56"/>
      <c r="D135" s="56"/>
      <c r="E135" s="90"/>
      <c r="F135" s="84"/>
    </row>
    <row r="136" ht="12.75" customHeight="1">
      <c r="A136" s="56"/>
      <c r="B136" s="56"/>
      <c r="C136" s="56"/>
      <c r="D136" s="56"/>
      <c r="E136" s="90"/>
      <c r="F136" s="84"/>
    </row>
    <row r="137" ht="12.75" customHeight="1">
      <c r="A137" s="56"/>
      <c r="B137" s="56"/>
      <c r="C137" s="56"/>
      <c r="D137" s="56"/>
      <c r="E137" s="90"/>
      <c r="F137" s="84"/>
    </row>
    <row r="138" ht="12.75" customHeight="1">
      <c r="A138" s="56"/>
      <c r="B138" s="56"/>
      <c r="C138" s="56"/>
      <c r="D138" s="56"/>
      <c r="E138" s="90"/>
      <c r="F138" s="84"/>
    </row>
    <row r="139" ht="12.75" customHeight="1">
      <c r="A139" s="56"/>
      <c r="B139" s="56"/>
      <c r="C139" s="56"/>
      <c r="D139" s="56"/>
      <c r="E139" s="90"/>
      <c r="F139" s="84"/>
    </row>
    <row r="140" ht="12.75" customHeight="1">
      <c r="A140" s="56"/>
      <c r="B140" s="56"/>
      <c r="C140" s="56"/>
      <c r="D140" s="56"/>
      <c r="E140" s="90"/>
      <c r="F140" s="84"/>
    </row>
    <row r="141" ht="12.75" customHeight="1">
      <c r="A141" s="56"/>
      <c r="B141" s="56"/>
      <c r="C141" s="56"/>
      <c r="D141" s="56"/>
      <c r="E141" s="90"/>
      <c r="F141" s="84"/>
    </row>
    <row r="142" ht="12.75" customHeight="1">
      <c r="A142" s="56"/>
      <c r="B142" s="56"/>
      <c r="C142" s="56"/>
      <c r="D142" s="56"/>
      <c r="E142" s="90"/>
      <c r="F142" s="84"/>
    </row>
    <row r="143" ht="12.75" customHeight="1">
      <c r="A143" s="56"/>
      <c r="B143" s="56"/>
      <c r="C143" s="56"/>
      <c r="D143" s="56"/>
      <c r="E143" s="90"/>
      <c r="F143" s="84"/>
    </row>
    <row r="144" ht="12.75" customHeight="1">
      <c r="A144" s="56"/>
      <c r="B144" s="56"/>
      <c r="C144" s="56"/>
      <c r="D144" s="56"/>
      <c r="E144" s="90"/>
      <c r="F144" s="84"/>
    </row>
    <row r="145" ht="12.75" customHeight="1">
      <c r="A145" s="56"/>
      <c r="B145" s="56"/>
      <c r="C145" s="56"/>
      <c r="D145" s="56"/>
      <c r="E145" s="90"/>
      <c r="F145" s="84"/>
    </row>
    <row r="146" ht="12.75" customHeight="1">
      <c r="A146" s="56"/>
      <c r="B146" s="56"/>
      <c r="C146" s="56"/>
      <c r="D146" s="56"/>
      <c r="E146" s="90"/>
      <c r="F146" s="84"/>
    </row>
    <row r="147" ht="12.75" customHeight="1">
      <c r="A147" s="56"/>
      <c r="B147" s="56"/>
      <c r="C147" s="56"/>
      <c r="D147" s="56"/>
      <c r="E147" s="90"/>
      <c r="F147" s="84"/>
    </row>
    <row r="148" ht="12.75" customHeight="1">
      <c r="A148" s="56"/>
      <c r="B148" s="56"/>
      <c r="C148" s="56"/>
      <c r="D148" s="56"/>
      <c r="E148" s="90"/>
      <c r="F148" s="84"/>
    </row>
    <row r="149" ht="12.75" customHeight="1">
      <c r="A149" s="56"/>
      <c r="B149" s="56"/>
      <c r="C149" s="56"/>
      <c r="D149" s="56"/>
      <c r="E149" s="90"/>
      <c r="F149" s="84"/>
    </row>
    <row r="150" ht="12.75" customHeight="1">
      <c r="A150" s="56"/>
      <c r="B150" s="56"/>
      <c r="C150" s="56"/>
      <c r="D150" s="56"/>
      <c r="E150" s="90"/>
      <c r="F150" s="84"/>
    </row>
    <row r="151" ht="12.75" customHeight="1">
      <c r="A151" s="56"/>
      <c r="B151" s="56"/>
      <c r="C151" s="56"/>
      <c r="D151" s="56"/>
      <c r="E151" s="90"/>
      <c r="F151" s="84"/>
    </row>
    <row r="152" ht="12.75" customHeight="1">
      <c r="A152" s="56"/>
      <c r="B152" s="56"/>
      <c r="C152" s="56"/>
      <c r="D152" s="56"/>
      <c r="E152" s="90"/>
      <c r="F152" s="84"/>
    </row>
    <row r="153" ht="12.75" customHeight="1">
      <c r="A153" s="56"/>
      <c r="B153" s="56"/>
      <c r="C153" s="56"/>
      <c r="D153" s="56"/>
      <c r="E153" s="90"/>
      <c r="F153" s="84"/>
    </row>
    <row r="154" ht="12.75" customHeight="1">
      <c r="A154" s="56"/>
      <c r="B154" s="56"/>
      <c r="C154" s="56"/>
      <c r="D154" s="56"/>
      <c r="E154" s="90"/>
      <c r="F154" s="84"/>
    </row>
    <row r="155" ht="12.75" customHeight="1">
      <c r="A155" s="56"/>
      <c r="B155" s="56"/>
      <c r="C155" s="56"/>
      <c r="D155" s="56"/>
      <c r="E155" s="90"/>
      <c r="F155" s="84"/>
    </row>
    <row r="156" ht="12.75" customHeight="1">
      <c r="A156" s="56"/>
      <c r="B156" s="56"/>
      <c r="C156" s="56"/>
      <c r="D156" s="56"/>
      <c r="E156" s="90"/>
      <c r="F156" s="84"/>
    </row>
    <row r="157" ht="12.75" customHeight="1">
      <c r="A157" s="56"/>
      <c r="B157" s="56"/>
      <c r="C157" s="56"/>
      <c r="D157" s="56"/>
      <c r="E157" s="90"/>
      <c r="F157" s="84"/>
    </row>
    <row r="158" ht="12.75" customHeight="1">
      <c r="A158" s="56"/>
      <c r="B158" s="56"/>
      <c r="C158" s="56"/>
      <c r="D158" s="56"/>
      <c r="E158" s="90"/>
      <c r="F158" s="84"/>
    </row>
    <row r="159" ht="12.75" customHeight="1">
      <c r="A159" s="56"/>
      <c r="B159" s="56"/>
      <c r="C159" s="56"/>
      <c r="D159" s="56"/>
      <c r="E159" s="90"/>
      <c r="F159" s="84"/>
    </row>
    <row r="160" ht="12.75" customHeight="1">
      <c r="A160" s="56"/>
      <c r="B160" s="56"/>
      <c r="C160" s="56"/>
      <c r="D160" s="56"/>
      <c r="E160" s="90"/>
      <c r="F160" s="84"/>
    </row>
    <row r="161" ht="12.75" customHeight="1">
      <c r="A161" s="56"/>
      <c r="B161" s="56"/>
      <c r="C161" s="56"/>
      <c r="D161" s="56"/>
      <c r="E161" s="90"/>
      <c r="F161" s="84"/>
    </row>
    <row r="162" ht="12.75" customHeight="1">
      <c r="A162" s="56"/>
      <c r="B162" s="56"/>
      <c r="C162" s="56"/>
      <c r="D162" s="56"/>
      <c r="E162" s="90"/>
      <c r="F162" s="84"/>
    </row>
    <row r="163" ht="12.75" customHeight="1">
      <c r="A163" s="56"/>
      <c r="B163" s="56"/>
      <c r="C163" s="56"/>
      <c r="D163" s="56"/>
      <c r="E163" s="90"/>
      <c r="F163" s="84"/>
    </row>
    <row r="164" ht="12.75" customHeight="1">
      <c r="A164" s="56"/>
      <c r="B164" s="56"/>
      <c r="C164" s="56"/>
      <c r="D164" s="56"/>
      <c r="E164" s="90"/>
      <c r="F164" s="84"/>
    </row>
    <row r="165" ht="12.75" customHeight="1">
      <c r="A165" s="56"/>
      <c r="B165" s="56"/>
      <c r="C165" s="56"/>
      <c r="D165" s="56"/>
      <c r="E165" s="90"/>
      <c r="F165" s="84"/>
    </row>
    <row r="166" ht="12.75" customHeight="1">
      <c r="A166" s="56"/>
      <c r="B166" s="56"/>
      <c r="C166" s="56"/>
      <c r="D166" s="56"/>
      <c r="E166" s="90"/>
      <c r="F166" s="84"/>
    </row>
    <row r="167" ht="12.75" customHeight="1">
      <c r="A167" s="56"/>
      <c r="B167" s="56"/>
      <c r="C167" s="56"/>
      <c r="D167" s="56"/>
      <c r="E167" s="90"/>
      <c r="F167" s="84"/>
    </row>
    <row r="168" ht="12.75" customHeight="1">
      <c r="A168" s="56"/>
      <c r="B168" s="56"/>
      <c r="C168" s="56"/>
      <c r="D168" s="56"/>
      <c r="E168" s="90"/>
      <c r="F168" s="84"/>
    </row>
    <row r="169" ht="12.75" customHeight="1">
      <c r="A169" s="56"/>
      <c r="B169" s="56"/>
      <c r="C169" s="56"/>
      <c r="D169" s="56"/>
      <c r="E169" s="90"/>
      <c r="F169" s="84"/>
    </row>
    <row r="170" ht="12.75" customHeight="1">
      <c r="A170" s="56"/>
      <c r="B170" s="56"/>
      <c r="C170" s="56"/>
      <c r="D170" s="56"/>
      <c r="E170" s="90"/>
      <c r="F170" s="84"/>
    </row>
    <row r="171" ht="12.75" customHeight="1">
      <c r="A171" s="56"/>
      <c r="B171" s="56"/>
      <c r="C171" s="56"/>
      <c r="D171" s="56"/>
      <c r="E171" s="90"/>
      <c r="F171" s="84"/>
    </row>
    <row r="172" ht="12.75" customHeight="1">
      <c r="A172" s="56"/>
      <c r="B172" s="56"/>
      <c r="C172" s="56"/>
      <c r="D172" s="56"/>
      <c r="E172" s="90"/>
      <c r="F172" s="84"/>
    </row>
    <row r="173" ht="12.75" customHeight="1">
      <c r="A173" s="56"/>
      <c r="B173" s="56"/>
      <c r="C173" s="56"/>
      <c r="D173" s="56"/>
      <c r="E173" s="90"/>
      <c r="F173" s="84"/>
    </row>
    <row r="174" ht="12.75" customHeight="1">
      <c r="A174" s="56"/>
      <c r="B174" s="56"/>
      <c r="C174" s="56"/>
      <c r="D174" s="56"/>
      <c r="E174" s="90"/>
      <c r="F174" s="84"/>
    </row>
    <row r="175" ht="12.75" customHeight="1">
      <c r="A175" s="56"/>
      <c r="B175" s="56"/>
      <c r="C175" s="56"/>
      <c r="D175" s="56"/>
      <c r="E175" s="90"/>
      <c r="F175" s="84"/>
    </row>
    <row r="176" ht="12.75" customHeight="1">
      <c r="A176" s="56"/>
      <c r="B176" s="56"/>
      <c r="C176" s="56"/>
      <c r="D176" s="56"/>
      <c r="E176" s="90"/>
      <c r="F176" s="84"/>
    </row>
    <row r="177" ht="12.75" customHeight="1">
      <c r="A177" s="56"/>
      <c r="B177" s="56"/>
      <c r="C177" s="56"/>
      <c r="D177" s="56"/>
      <c r="E177" s="90"/>
      <c r="F177" s="84"/>
    </row>
    <row r="178" ht="12.75" customHeight="1">
      <c r="A178" s="56"/>
      <c r="B178" s="56"/>
      <c r="C178" s="56"/>
      <c r="D178" s="56"/>
      <c r="E178" s="90"/>
      <c r="F178" s="84"/>
    </row>
    <row r="179" ht="12.75" customHeight="1">
      <c r="A179" s="56"/>
      <c r="B179" s="56"/>
      <c r="C179" s="56"/>
      <c r="D179" s="56"/>
      <c r="E179" s="90"/>
      <c r="F179" s="84"/>
    </row>
    <row r="180" ht="12.75" customHeight="1">
      <c r="A180" s="56"/>
      <c r="B180" s="56"/>
      <c r="C180" s="56"/>
      <c r="D180" s="56"/>
      <c r="E180" s="90"/>
      <c r="F180" s="84"/>
    </row>
    <row r="181" ht="12.75" customHeight="1">
      <c r="A181" s="56"/>
      <c r="B181" s="56"/>
      <c r="C181" s="56"/>
      <c r="D181" s="56"/>
      <c r="E181" s="90"/>
      <c r="F181" s="84"/>
    </row>
    <row r="182" ht="12.75" customHeight="1">
      <c r="A182" s="56"/>
      <c r="B182" s="56"/>
      <c r="C182" s="56"/>
      <c r="D182" s="56"/>
      <c r="E182" s="90"/>
      <c r="F182" s="84"/>
    </row>
    <row r="183" ht="12.75" customHeight="1">
      <c r="A183" s="56"/>
      <c r="B183" s="56"/>
      <c r="C183" s="56"/>
      <c r="D183" s="56"/>
      <c r="E183" s="90"/>
      <c r="F183" s="84"/>
    </row>
    <row r="184" ht="12.75" customHeight="1">
      <c r="A184" s="56"/>
      <c r="B184" s="56"/>
      <c r="C184" s="56"/>
      <c r="D184" s="56"/>
      <c r="E184" s="90"/>
      <c r="F184" s="84"/>
    </row>
    <row r="185" ht="12.75" customHeight="1">
      <c r="A185" s="56"/>
      <c r="B185" s="56"/>
      <c r="C185" s="56"/>
      <c r="D185" s="56"/>
      <c r="E185" s="90"/>
      <c r="F185" s="84"/>
    </row>
    <row r="186" ht="12.75" customHeight="1">
      <c r="A186" s="56"/>
      <c r="B186" s="56"/>
      <c r="C186" s="56"/>
      <c r="D186" s="56"/>
      <c r="E186" s="90"/>
      <c r="F186" s="84"/>
    </row>
    <row r="187" ht="12.75" customHeight="1">
      <c r="A187" s="56"/>
      <c r="B187" s="56"/>
      <c r="C187" s="56"/>
      <c r="D187" s="56"/>
      <c r="E187" s="90"/>
      <c r="F187" s="84"/>
    </row>
    <row r="188" ht="12.75" customHeight="1">
      <c r="A188" s="56"/>
      <c r="B188" s="56"/>
      <c r="C188" s="56"/>
      <c r="D188" s="56"/>
      <c r="E188" s="90"/>
      <c r="F188" s="84"/>
    </row>
    <row r="189" ht="12.75" customHeight="1">
      <c r="A189" s="56"/>
      <c r="B189" s="56"/>
      <c r="C189" s="56"/>
      <c r="D189" s="56"/>
      <c r="E189" s="90"/>
      <c r="F189" s="84"/>
    </row>
    <row r="190" ht="12.75" customHeight="1">
      <c r="A190" s="56"/>
      <c r="B190" s="56"/>
      <c r="C190" s="56"/>
      <c r="D190" s="56"/>
      <c r="E190" s="90"/>
      <c r="F190" s="84"/>
    </row>
    <row r="191" ht="12.75" customHeight="1">
      <c r="A191" s="56"/>
      <c r="B191" s="56"/>
      <c r="C191" s="56"/>
      <c r="D191" s="56"/>
      <c r="E191" s="90"/>
      <c r="F191" s="84"/>
    </row>
    <row r="192" ht="12.75" customHeight="1">
      <c r="A192" s="56"/>
      <c r="B192" s="56"/>
      <c r="C192" s="56"/>
      <c r="D192" s="56"/>
      <c r="E192" s="90"/>
      <c r="F192" s="84"/>
    </row>
    <row r="193" ht="12.75" customHeight="1">
      <c r="A193" s="56"/>
      <c r="B193" s="56"/>
      <c r="C193" s="56"/>
      <c r="D193" s="56"/>
      <c r="E193" s="90"/>
      <c r="F193" s="84"/>
    </row>
    <row r="194" ht="12.75" customHeight="1">
      <c r="A194" s="56"/>
      <c r="B194" s="56"/>
      <c r="C194" s="56"/>
      <c r="D194" s="56"/>
      <c r="E194" s="90"/>
      <c r="F194" s="84"/>
    </row>
    <row r="195" ht="12.75" customHeight="1">
      <c r="A195" s="56"/>
      <c r="B195" s="56"/>
      <c r="C195" s="56"/>
      <c r="D195" s="56"/>
      <c r="E195" s="90"/>
      <c r="F195" s="84"/>
    </row>
    <row r="196" ht="12.75" customHeight="1">
      <c r="A196" s="56"/>
      <c r="B196" s="56"/>
      <c r="C196" s="56"/>
      <c r="D196" s="56"/>
      <c r="E196" s="90"/>
      <c r="F196" s="84"/>
    </row>
    <row r="197" ht="12.75" customHeight="1">
      <c r="A197" s="56"/>
      <c r="B197" s="56"/>
      <c r="C197" s="56"/>
      <c r="D197" s="56"/>
      <c r="E197" s="90"/>
      <c r="F197" s="84"/>
    </row>
    <row r="198" ht="12.75" customHeight="1">
      <c r="A198" s="56"/>
      <c r="B198" s="56"/>
      <c r="C198" s="56"/>
      <c r="D198" s="56"/>
      <c r="E198" s="90"/>
      <c r="F198" s="84"/>
    </row>
    <row r="199" ht="12.75" customHeight="1">
      <c r="A199" s="56"/>
      <c r="B199" s="56"/>
      <c r="C199" s="56"/>
      <c r="D199" s="56"/>
      <c r="E199" s="90"/>
      <c r="F199" s="84"/>
    </row>
    <row r="200" ht="12.75" customHeight="1">
      <c r="A200" s="56"/>
      <c r="B200" s="56"/>
      <c r="C200" s="56"/>
      <c r="D200" s="56"/>
      <c r="E200" s="90"/>
      <c r="F200" s="84"/>
    </row>
    <row r="201" ht="12.75" customHeight="1">
      <c r="A201" s="56"/>
      <c r="B201" s="56"/>
      <c r="C201" s="56"/>
      <c r="D201" s="56"/>
      <c r="E201" s="90"/>
      <c r="F201" s="84"/>
    </row>
    <row r="202" ht="12.75" customHeight="1">
      <c r="A202" s="56"/>
      <c r="B202" s="56"/>
      <c r="C202" s="56"/>
      <c r="D202" s="56"/>
      <c r="E202" s="90"/>
      <c r="F202" s="84"/>
    </row>
    <row r="203" ht="12.75" customHeight="1">
      <c r="A203" s="56"/>
      <c r="B203" s="56"/>
      <c r="C203" s="56"/>
      <c r="D203" s="56"/>
      <c r="E203" s="90"/>
      <c r="F203" s="84"/>
    </row>
    <row r="204" ht="12.75" customHeight="1">
      <c r="A204" s="56"/>
      <c r="B204" s="56"/>
      <c r="C204" s="56"/>
      <c r="D204" s="56"/>
      <c r="E204" s="90"/>
      <c r="F204" s="84"/>
    </row>
    <row r="205" ht="12.75" customHeight="1">
      <c r="A205" s="56"/>
      <c r="B205" s="56"/>
      <c r="C205" s="56"/>
      <c r="D205" s="56"/>
      <c r="E205" s="90"/>
      <c r="F205" s="84"/>
    </row>
    <row r="206" ht="12.75" customHeight="1">
      <c r="A206" s="56"/>
      <c r="B206" s="56"/>
      <c r="C206" s="56"/>
      <c r="D206" s="56"/>
      <c r="E206" s="90"/>
      <c r="F206" s="84"/>
    </row>
    <row r="207" ht="12.75" customHeight="1">
      <c r="A207" s="56"/>
      <c r="B207" s="56"/>
      <c r="C207" s="56"/>
      <c r="D207" s="56"/>
      <c r="E207" s="90"/>
      <c r="F207" s="84"/>
    </row>
    <row r="208" ht="12.75" customHeight="1">
      <c r="A208" s="56"/>
      <c r="B208" s="56"/>
      <c r="C208" s="56"/>
      <c r="D208" s="56"/>
      <c r="E208" s="90"/>
      <c r="F208" s="84"/>
    </row>
    <row r="209" ht="12.75" customHeight="1">
      <c r="A209" s="56"/>
      <c r="B209" s="56"/>
      <c r="C209" s="56"/>
      <c r="D209" s="56"/>
      <c r="E209" s="90"/>
      <c r="F209" s="84"/>
    </row>
    <row r="210" ht="12.75" customHeight="1">
      <c r="A210" s="56"/>
      <c r="B210" s="56"/>
      <c r="C210" s="56"/>
      <c r="D210" s="56"/>
      <c r="E210" s="90"/>
      <c r="F210" s="84"/>
    </row>
    <row r="211" ht="12.75" customHeight="1">
      <c r="A211" s="56"/>
      <c r="B211" s="56"/>
      <c r="C211" s="56"/>
      <c r="D211" s="56"/>
      <c r="E211" s="90"/>
      <c r="F211" s="84"/>
    </row>
    <row r="212" ht="12.75" customHeight="1">
      <c r="A212" s="56"/>
      <c r="B212" s="56"/>
      <c r="C212" s="56"/>
      <c r="D212" s="56"/>
      <c r="E212" s="90"/>
      <c r="F212" s="84"/>
    </row>
    <row r="213" ht="12.75" customHeight="1">
      <c r="A213" s="56"/>
      <c r="B213" s="56"/>
      <c r="C213" s="56"/>
      <c r="D213" s="56"/>
      <c r="E213" s="90"/>
      <c r="F213" s="84"/>
    </row>
    <row r="214" ht="12.75" customHeight="1">
      <c r="A214" s="56"/>
      <c r="B214" s="56"/>
      <c r="C214" s="56"/>
      <c r="D214" s="56"/>
      <c r="E214" s="90"/>
      <c r="F214" s="84"/>
    </row>
    <row r="215" ht="12.75" customHeight="1">
      <c r="A215" s="56"/>
      <c r="B215" s="56"/>
      <c r="C215" s="56"/>
      <c r="D215" s="56"/>
      <c r="E215" s="90"/>
      <c r="F215" s="84"/>
    </row>
    <row r="216" ht="12.75" customHeight="1">
      <c r="A216" s="56"/>
      <c r="B216" s="56"/>
      <c r="C216" s="56"/>
      <c r="D216" s="56"/>
      <c r="E216" s="90"/>
      <c r="F216" s="84"/>
    </row>
    <row r="217" ht="12.75" customHeight="1">
      <c r="A217" s="56"/>
      <c r="B217" s="56"/>
      <c r="C217" s="56"/>
      <c r="D217" s="56"/>
      <c r="E217" s="90"/>
      <c r="F217" s="84"/>
    </row>
    <row r="218" ht="12.75" customHeight="1">
      <c r="A218" s="56"/>
      <c r="B218" s="56"/>
      <c r="C218" s="56"/>
      <c r="D218" s="56"/>
      <c r="E218" s="90"/>
      <c r="F218" s="84"/>
    </row>
    <row r="219" ht="12.75" customHeight="1">
      <c r="A219" s="56"/>
      <c r="B219" s="56"/>
      <c r="C219" s="56"/>
      <c r="D219" s="56"/>
      <c r="E219" s="90"/>
      <c r="F219" s="84"/>
    </row>
    <row r="220" ht="12.75" customHeight="1">
      <c r="A220" s="56"/>
      <c r="B220" s="56"/>
      <c r="C220" s="56"/>
      <c r="D220" s="56"/>
      <c r="E220" s="90"/>
      <c r="F220" s="84"/>
    </row>
    <row r="221" ht="12.75" customHeight="1">
      <c r="A221" s="56"/>
      <c r="B221" s="56"/>
      <c r="C221" s="56"/>
      <c r="D221" s="56"/>
      <c r="E221" s="90"/>
      <c r="F221" s="84"/>
    </row>
    <row r="222" ht="12.75" customHeight="1">
      <c r="A222" s="56"/>
      <c r="B222" s="56"/>
      <c r="C222" s="56"/>
      <c r="D222" s="56"/>
      <c r="E222" s="90"/>
      <c r="F222" s="84"/>
    </row>
    <row r="223" ht="12.75" customHeight="1">
      <c r="A223" s="56"/>
      <c r="B223" s="56"/>
      <c r="C223" s="56"/>
      <c r="D223" s="56"/>
      <c r="E223" s="90"/>
      <c r="F223" s="84"/>
    </row>
    <row r="224" ht="12.75" customHeight="1">
      <c r="A224" s="56"/>
      <c r="B224" s="56"/>
      <c r="C224" s="56"/>
      <c r="D224" s="56"/>
      <c r="E224" s="90"/>
      <c r="F224" s="84"/>
    </row>
    <row r="225" ht="12.75" customHeight="1">
      <c r="A225" s="56"/>
      <c r="B225" s="56"/>
      <c r="C225" s="56"/>
      <c r="D225" s="56"/>
      <c r="E225" s="90"/>
      <c r="F225" s="84"/>
    </row>
    <row r="226" ht="12.75" customHeight="1">
      <c r="A226" s="56"/>
      <c r="B226" s="56"/>
      <c r="C226" s="56"/>
      <c r="D226" s="56"/>
      <c r="E226" s="90"/>
      <c r="F226" s="84"/>
    </row>
    <row r="227" ht="12.75" customHeight="1">
      <c r="A227" s="56"/>
      <c r="B227" s="56"/>
      <c r="C227" s="56"/>
      <c r="D227" s="56"/>
      <c r="E227" s="90"/>
      <c r="F227" s="84"/>
    </row>
    <row r="228" ht="12.75" customHeight="1">
      <c r="A228" s="56"/>
      <c r="B228" s="56"/>
      <c r="C228" s="56"/>
      <c r="D228" s="56"/>
      <c r="E228" s="90"/>
      <c r="F228" s="84"/>
    </row>
    <row r="229" ht="12.75" customHeight="1">
      <c r="A229" s="56"/>
      <c r="B229" s="56"/>
      <c r="C229" s="56"/>
      <c r="D229" s="56"/>
      <c r="E229" s="90"/>
      <c r="F229" s="84"/>
    </row>
    <row r="230" ht="12.75" customHeight="1">
      <c r="A230" s="56"/>
      <c r="B230" s="56"/>
      <c r="C230" s="56"/>
      <c r="D230" s="56"/>
      <c r="E230" s="90"/>
      <c r="F230" s="84"/>
    </row>
    <row r="231" ht="12.75" customHeight="1">
      <c r="A231" s="56"/>
      <c r="B231" s="56"/>
      <c r="C231" s="56"/>
      <c r="D231" s="56"/>
      <c r="E231" s="90"/>
      <c r="F231" s="84"/>
    </row>
    <row r="232" ht="12.75" customHeight="1">
      <c r="A232" s="56"/>
      <c r="B232" s="56"/>
      <c r="C232" s="56"/>
      <c r="D232" s="56"/>
      <c r="E232" s="90"/>
      <c r="F232" s="84"/>
    </row>
    <row r="233" ht="12.75" customHeight="1">
      <c r="A233" s="56"/>
      <c r="B233" s="56"/>
      <c r="C233" s="56"/>
      <c r="D233" s="56"/>
      <c r="E233" s="90"/>
      <c r="F233" s="84"/>
    </row>
    <row r="234" ht="12.75" customHeight="1">
      <c r="A234" s="56"/>
      <c r="B234" s="56"/>
      <c r="C234" s="56"/>
      <c r="D234" s="56"/>
      <c r="E234" s="90"/>
      <c r="F234" s="84"/>
    </row>
    <row r="235" ht="12.75" customHeight="1">
      <c r="A235" s="56"/>
      <c r="B235" s="56"/>
      <c r="C235" s="56"/>
      <c r="D235" s="56"/>
      <c r="E235" s="90"/>
      <c r="F235" s="84"/>
    </row>
    <row r="236" ht="12.75" customHeight="1">
      <c r="A236" s="56"/>
      <c r="B236" s="56"/>
      <c r="C236" s="56"/>
      <c r="D236" s="56"/>
      <c r="E236" s="90"/>
      <c r="F236" s="84"/>
    </row>
    <row r="237" ht="12.75" customHeight="1">
      <c r="A237" s="56"/>
      <c r="B237" s="56"/>
      <c r="C237" s="56"/>
      <c r="D237" s="56"/>
      <c r="E237" s="90"/>
      <c r="F237" s="84"/>
    </row>
    <row r="238" ht="12.75" customHeight="1">
      <c r="A238" s="56"/>
      <c r="B238" s="56"/>
      <c r="C238" s="56"/>
      <c r="D238" s="56"/>
      <c r="E238" s="90"/>
      <c r="F238" s="84"/>
    </row>
    <row r="239" ht="12.75" customHeight="1">
      <c r="A239" s="56"/>
      <c r="B239" s="56"/>
      <c r="C239" s="56"/>
      <c r="D239" s="56"/>
      <c r="E239" s="90"/>
      <c r="F239" s="84"/>
    </row>
    <row r="240" ht="12.75" customHeight="1">
      <c r="A240" s="56"/>
      <c r="B240" s="56"/>
      <c r="C240" s="56"/>
      <c r="D240" s="56"/>
      <c r="E240" s="90"/>
      <c r="F240" s="84"/>
    </row>
    <row r="241" ht="12.75" customHeight="1">
      <c r="A241" s="56"/>
      <c r="B241" s="56"/>
      <c r="C241" s="56"/>
      <c r="D241" s="56"/>
      <c r="E241" s="90"/>
      <c r="F241" s="84"/>
    </row>
    <row r="242" ht="12.75" customHeight="1">
      <c r="A242" s="56"/>
      <c r="B242" s="56"/>
      <c r="C242" s="56"/>
      <c r="D242" s="56"/>
      <c r="E242" s="90"/>
      <c r="F242" s="84"/>
    </row>
    <row r="243" ht="12.75" customHeight="1">
      <c r="A243" s="56"/>
      <c r="B243" s="56"/>
      <c r="C243" s="56"/>
      <c r="D243" s="56"/>
      <c r="E243" s="90"/>
      <c r="F243" s="84"/>
    </row>
    <row r="244" ht="12.75" customHeight="1">
      <c r="A244" s="56"/>
      <c r="B244" s="56"/>
      <c r="C244" s="56"/>
      <c r="D244" s="56"/>
      <c r="E244" s="90"/>
      <c r="F244" s="84"/>
    </row>
    <row r="245" ht="12.75" customHeight="1">
      <c r="A245" s="56"/>
      <c r="B245" s="56"/>
      <c r="C245" s="56"/>
      <c r="D245" s="56"/>
      <c r="E245" s="90"/>
      <c r="F245" s="84"/>
    </row>
    <row r="246" ht="12.75" customHeight="1">
      <c r="A246" s="56"/>
      <c r="B246" s="56"/>
      <c r="C246" s="56"/>
      <c r="D246" s="56"/>
      <c r="E246" s="90"/>
      <c r="F246" s="84"/>
    </row>
    <row r="247" ht="12.75" customHeight="1">
      <c r="A247" s="56"/>
      <c r="B247" s="56"/>
      <c r="C247" s="56"/>
      <c r="D247" s="56"/>
      <c r="E247" s="90"/>
      <c r="F247" s="84"/>
    </row>
    <row r="248" ht="12.75" customHeight="1">
      <c r="A248" s="56"/>
      <c r="B248" s="56"/>
      <c r="C248" s="56"/>
      <c r="D248" s="56"/>
      <c r="E248" s="90"/>
      <c r="F248" s="84"/>
    </row>
    <row r="249" ht="12.75" customHeight="1">
      <c r="A249" s="56"/>
      <c r="B249" s="56"/>
      <c r="C249" s="56"/>
      <c r="D249" s="56"/>
      <c r="E249" s="90"/>
      <c r="F249" s="84"/>
    </row>
    <row r="250" ht="12.75" customHeight="1">
      <c r="A250" s="56"/>
      <c r="B250" s="56"/>
      <c r="C250" s="56"/>
      <c r="D250" s="56"/>
      <c r="E250" s="90"/>
      <c r="F250" s="84"/>
    </row>
    <row r="251" ht="12.75" customHeight="1">
      <c r="A251" s="56"/>
      <c r="B251" s="56"/>
      <c r="C251" s="56"/>
      <c r="D251" s="56"/>
      <c r="E251" s="90"/>
      <c r="F251" s="84"/>
    </row>
    <row r="252" ht="12.75" customHeight="1">
      <c r="A252" s="56"/>
      <c r="B252" s="56"/>
      <c r="C252" s="56"/>
      <c r="D252" s="56"/>
      <c r="E252" s="90"/>
      <c r="F252" s="84"/>
    </row>
    <row r="253" ht="12.75" customHeight="1">
      <c r="A253" s="56"/>
      <c r="B253" s="56"/>
      <c r="C253" s="56"/>
      <c r="D253" s="56"/>
      <c r="E253" s="90"/>
      <c r="F253" s="84"/>
    </row>
    <row r="254" ht="12.75" customHeight="1">
      <c r="A254" s="56"/>
      <c r="B254" s="56"/>
      <c r="C254" s="56"/>
      <c r="D254" s="56"/>
      <c r="E254" s="90"/>
      <c r="F254" s="84"/>
    </row>
    <row r="255" ht="12.75" customHeight="1">
      <c r="A255" s="56"/>
      <c r="B255" s="56"/>
      <c r="C255" s="56"/>
      <c r="D255" s="56"/>
      <c r="E255" s="90"/>
      <c r="F255" s="84"/>
    </row>
    <row r="256" ht="12.75" customHeight="1">
      <c r="A256" s="56"/>
      <c r="B256" s="56"/>
      <c r="C256" s="56"/>
      <c r="D256" s="56"/>
      <c r="E256" s="90"/>
      <c r="F256" s="84"/>
    </row>
    <row r="257" ht="12.75" customHeight="1">
      <c r="A257" s="56"/>
      <c r="B257" s="56"/>
      <c r="C257" s="56"/>
      <c r="D257" s="56"/>
      <c r="E257" s="90"/>
      <c r="F257" s="84"/>
    </row>
    <row r="258" ht="12.75" customHeight="1">
      <c r="A258" s="56"/>
      <c r="B258" s="56"/>
      <c r="C258" s="56"/>
      <c r="D258" s="56"/>
      <c r="E258" s="90"/>
      <c r="F258" s="84"/>
    </row>
    <row r="259" ht="12.75" customHeight="1">
      <c r="A259" s="56"/>
      <c r="B259" s="56"/>
      <c r="C259" s="56"/>
      <c r="D259" s="56"/>
      <c r="E259" s="90"/>
      <c r="F259" s="84"/>
    </row>
    <row r="260" ht="12.75" customHeight="1">
      <c r="A260" s="56"/>
      <c r="B260" s="56"/>
      <c r="C260" s="56"/>
      <c r="D260" s="56"/>
      <c r="E260" s="90"/>
      <c r="F260" s="84"/>
    </row>
    <row r="261" ht="12.75" customHeight="1">
      <c r="A261" s="56"/>
      <c r="B261" s="56"/>
      <c r="C261" s="56"/>
      <c r="D261" s="56"/>
      <c r="E261" s="90"/>
      <c r="F261" s="84"/>
    </row>
    <row r="262" ht="12.75" customHeight="1">
      <c r="A262" s="56"/>
      <c r="B262" s="56"/>
      <c r="C262" s="56"/>
      <c r="D262" s="56"/>
      <c r="E262" s="90"/>
      <c r="F262" s="84"/>
    </row>
    <row r="263" ht="12.75" customHeight="1">
      <c r="A263" s="56"/>
      <c r="B263" s="56"/>
      <c r="C263" s="56"/>
      <c r="D263" s="56"/>
      <c r="E263" s="90"/>
      <c r="F263" s="84"/>
    </row>
    <row r="264" ht="12.75" customHeight="1">
      <c r="A264" s="56"/>
      <c r="B264" s="56"/>
      <c r="C264" s="56"/>
      <c r="D264" s="56"/>
      <c r="E264" s="90"/>
      <c r="F264" s="84"/>
    </row>
    <row r="265" ht="12.75" customHeight="1">
      <c r="A265" s="56"/>
      <c r="B265" s="56"/>
      <c r="C265" s="56"/>
      <c r="D265" s="56"/>
      <c r="E265" s="90"/>
      <c r="F265" s="84"/>
    </row>
    <row r="266" ht="12.75" customHeight="1">
      <c r="A266" s="56"/>
      <c r="B266" s="56"/>
      <c r="C266" s="56"/>
      <c r="D266" s="56"/>
      <c r="E266" s="90"/>
      <c r="F266" s="84"/>
    </row>
    <row r="267" ht="12.75" customHeight="1">
      <c r="A267" s="56"/>
      <c r="B267" s="56"/>
      <c r="C267" s="56"/>
      <c r="D267" s="56"/>
      <c r="E267" s="90"/>
      <c r="F267" s="84"/>
    </row>
    <row r="268" ht="12.75" customHeight="1">
      <c r="A268" s="56"/>
      <c r="B268" s="56"/>
      <c r="C268" s="56"/>
      <c r="D268" s="56"/>
      <c r="E268" s="90"/>
      <c r="F268" s="84"/>
    </row>
    <row r="269" ht="12.75" customHeight="1">
      <c r="A269" s="56"/>
      <c r="B269" s="56"/>
      <c r="C269" s="56"/>
      <c r="D269" s="56"/>
      <c r="E269" s="90"/>
      <c r="F269" s="84"/>
    </row>
    <row r="270" ht="12.75" customHeight="1">
      <c r="A270" s="56"/>
      <c r="B270" s="56"/>
      <c r="C270" s="56"/>
      <c r="D270" s="56"/>
      <c r="E270" s="90"/>
      <c r="F270" s="84"/>
    </row>
    <row r="271" ht="12.75" customHeight="1">
      <c r="A271" s="56"/>
      <c r="B271" s="56"/>
      <c r="C271" s="56"/>
      <c r="D271" s="56"/>
      <c r="E271" s="90"/>
      <c r="F271" s="84"/>
    </row>
    <row r="272" ht="12.75" customHeight="1">
      <c r="A272" s="56"/>
      <c r="B272" s="56"/>
      <c r="C272" s="56"/>
      <c r="D272" s="56"/>
      <c r="E272" s="90"/>
      <c r="F272" s="84"/>
    </row>
    <row r="273" ht="12.75" customHeight="1">
      <c r="A273" s="56"/>
      <c r="B273" s="56"/>
      <c r="C273" s="56"/>
      <c r="D273" s="56"/>
      <c r="E273" s="90"/>
      <c r="F273" s="84"/>
    </row>
    <row r="274" ht="12.75" customHeight="1">
      <c r="A274" s="56"/>
      <c r="B274" s="56"/>
      <c r="C274" s="56"/>
      <c r="D274" s="56"/>
      <c r="E274" s="90"/>
      <c r="F274" s="84"/>
    </row>
    <row r="275" ht="12.75" customHeight="1">
      <c r="A275" s="56"/>
      <c r="B275" s="56"/>
      <c r="C275" s="56"/>
      <c r="D275" s="56"/>
      <c r="E275" s="90"/>
      <c r="F275" s="84"/>
    </row>
    <row r="276" ht="12.75" customHeight="1">
      <c r="A276" s="56"/>
      <c r="B276" s="56"/>
      <c r="C276" s="56"/>
      <c r="D276" s="56"/>
      <c r="E276" s="90"/>
      <c r="F276" s="84"/>
    </row>
    <row r="277" ht="12.75" customHeight="1">
      <c r="A277" s="56"/>
      <c r="B277" s="56"/>
      <c r="C277" s="56"/>
      <c r="D277" s="56"/>
      <c r="E277" s="90"/>
      <c r="F277" s="84"/>
    </row>
    <row r="278" ht="12.75" customHeight="1">
      <c r="A278" s="56"/>
      <c r="B278" s="56"/>
      <c r="C278" s="56"/>
      <c r="D278" s="56"/>
      <c r="E278" s="90"/>
      <c r="F278" s="84"/>
    </row>
    <row r="279" ht="12.75" customHeight="1">
      <c r="A279" s="56"/>
      <c r="B279" s="56"/>
      <c r="C279" s="56"/>
      <c r="D279" s="56"/>
      <c r="E279" s="90"/>
      <c r="F279" s="84"/>
    </row>
    <row r="280" ht="12.75" customHeight="1">
      <c r="A280" s="56"/>
      <c r="B280" s="56"/>
      <c r="C280" s="56"/>
      <c r="D280" s="56"/>
      <c r="E280" s="90"/>
      <c r="F280" s="84"/>
    </row>
    <row r="281" ht="12.75" customHeight="1">
      <c r="A281" s="56"/>
      <c r="B281" s="56"/>
      <c r="C281" s="56"/>
      <c r="D281" s="56"/>
      <c r="E281" s="90"/>
      <c r="F281" s="84"/>
    </row>
    <row r="282" ht="12.75" customHeight="1">
      <c r="A282" s="56"/>
      <c r="B282" s="56"/>
      <c r="C282" s="56"/>
      <c r="D282" s="56"/>
      <c r="E282" s="90"/>
      <c r="F282" s="84"/>
    </row>
    <row r="283" ht="12.75" customHeight="1">
      <c r="A283" s="56"/>
      <c r="B283" s="56"/>
      <c r="C283" s="56"/>
      <c r="D283" s="56"/>
      <c r="E283" s="90"/>
      <c r="F283" s="84"/>
    </row>
    <row r="284" ht="12.75" customHeight="1">
      <c r="A284" s="56"/>
      <c r="B284" s="56"/>
      <c r="C284" s="56"/>
      <c r="D284" s="56"/>
      <c r="E284" s="90"/>
      <c r="F284" s="84"/>
    </row>
    <row r="285" ht="12.75" customHeight="1">
      <c r="A285" s="56"/>
      <c r="B285" s="56"/>
      <c r="C285" s="56"/>
      <c r="D285" s="56"/>
      <c r="E285" s="90"/>
      <c r="F285" s="84"/>
    </row>
    <row r="286" ht="12.75" customHeight="1">
      <c r="A286" s="56"/>
      <c r="B286" s="56"/>
      <c r="C286" s="56"/>
      <c r="D286" s="56"/>
      <c r="E286" s="90"/>
      <c r="F286" s="84"/>
    </row>
    <row r="287" ht="12.75" customHeight="1">
      <c r="A287" s="56"/>
      <c r="B287" s="56"/>
      <c r="C287" s="56"/>
      <c r="D287" s="56"/>
      <c r="E287" s="90"/>
      <c r="F287" s="84"/>
    </row>
    <row r="288" ht="12.75" customHeight="1">
      <c r="A288" s="56"/>
      <c r="B288" s="56"/>
      <c r="C288" s="56"/>
      <c r="D288" s="56"/>
      <c r="E288" s="90"/>
      <c r="F288" s="84"/>
    </row>
    <row r="289" ht="12.75" customHeight="1">
      <c r="A289" s="56"/>
      <c r="B289" s="56"/>
      <c r="C289" s="56"/>
      <c r="D289" s="56"/>
      <c r="E289" s="90"/>
      <c r="F289" s="84"/>
    </row>
    <row r="290" ht="12.75" customHeight="1">
      <c r="A290" s="56"/>
      <c r="B290" s="56"/>
      <c r="C290" s="56"/>
      <c r="D290" s="56"/>
      <c r="E290" s="90"/>
      <c r="F290" s="84"/>
    </row>
    <row r="291" ht="12.75" customHeight="1">
      <c r="A291" s="56"/>
      <c r="B291" s="56"/>
      <c r="C291" s="56"/>
      <c r="D291" s="56"/>
      <c r="E291" s="90"/>
      <c r="F291" s="84"/>
    </row>
    <row r="292" ht="12.75" customHeight="1">
      <c r="A292" s="56"/>
      <c r="B292" s="56"/>
      <c r="C292" s="56"/>
      <c r="D292" s="56"/>
      <c r="E292" s="90"/>
      <c r="F292" s="84"/>
    </row>
    <row r="293" ht="12.75" customHeight="1">
      <c r="A293" s="56"/>
      <c r="B293" s="56"/>
      <c r="C293" s="56"/>
      <c r="D293" s="56"/>
      <c r="E293" s="90"/>
      <c r="F293" s="84"/>
    </row>
    <row r="294" ht="12.75" customHeight="1">
      <c r="A294" s="56"/>
      <c r="B294" s="56"/>
      <c r="C294" s="56"/>
      <c r="D294" s="56"/>
      <c r="E294" s="90"/>
      <c r="F294" s="84"/>
    </row>
    <row r="295" ht="12.75" customHeight="1">
      <c r="A295" s="56"/>
      <c r="B295" s="56"/>
      <c r="C295" s="56"/>
      <c r="D295" s="56"/>
      <c r="E295" s="90"/>
      <c r="F295" s="84"/>
    </row>
    <row r="296" ht="12.75" customHeight="1">
      <c r="A296" s="56"/>
      <c r="B296" s="56"/>
      <c r="C296" s="56"/>
      <c r="D296" s="56"/>
      <c r="E296" s="90"/>
      <c r="F296" s="84"/>
    </row>
    <row r="297" ht="12.75" customHeight="1">
      <c r="A297" s="56"/>
      <c r="B297" s="56"/>
      <c r="C297" s="56"/>
      <c r="D297" s="56"/>
      <c r="E297" s="90"/>
      <c r="F297" s="84"/>
    </row>
    <row r="298" ht="12.75" customHeight="1">
      <c r="A298" s="56"/>
      <c r="B298" s="56"/>
      <c r="C298" s="56"/>
      <c r="D298" s="56"/>
      <c r="E298" s="90"/>
      <c r="F298" s="84"/>
    </row>
    <row r="299" ht="12.75" customHeight="1">
      <c r="A299" s="56"/>
      <c r="B299" s="56"/>
      <c r="C299" s="56"/>
      <c r="D299" s="56"/>
      <c r="E299" s="90"/>
      <c r="F299" s="84"/>
    </row>
    <row r="300" ht="12.75" customHeight="1">
      <c r="A300" s="56"/>
      <c r="B300" s="56"/>
      <c r="C300" s="56"/>
      <c r="D300" s="56"/>
      <c r="E300" s="90"/>
      <c r="F300" s="84"/>
    </row>
    <row r="301" ht="12.75" customHeight="1">
      <c r="A301" s="56"/>
      <c r="B301" s="56"/>
      <c r="C301" s="56"/>
      <c r="D301" s="56"/>
      <c r="E301" s="90"/>
      <c r="F301" s="84"/>
    </row>
    <row r="302" ht="12.75" customHeight="1">
      <c r="A302" s="56"/>
      <c r="B302" s="56"/>
      <c r="C302" s="56"/>
      <c r="D302" s="56"/>
      <c r="E302" s="90"/>
      <c r="F302" s="84"/>
    </row>
    <row r="303" ht="12.75" customHeight="1">
      <c r="A303" s="56"/>
      <c r="B303" s="56"/>
      <c r="C303" s="56"/>
      <c r="D303" s="56"/>
      <c r="E303" s="90"/>
      <c r="F303" s="84"/>
    </row>
    <row r="304" ht="12.75" customHeight="1">
      <c r="A304" s="56"/>
      <c r="B304" s="56"/>
      <c r="C304" s="56"/>
      <c r="D304" s="56"/>
      <c r="E304" s="90"/>
      <c r="F304" s="84"/>
    </row>
    <row r="305" ht="12.75" customHeight="1">
      <c r="A305" s="56"/>
      <c r="B305" s="56"/>
      <c r="C305" s="56"/>
      <c r="D305" s="56"/>
      <c r="E305" s="90"/>
      <c r="F305" s="84"/>
    </row>
    <row r="306" ht="12.75" customHeight="1">
      <c r="A306" s="56"/>
      <c r="B306" s="56"/>
      <c r="C306" s="56"/>
      <c r="D306" s="56"/>
      <c r="E306" s="90"/>
      <c r="F306" s="84"/>
    </row>
    <row r="307" ht="12.75" customHeight="1">
      <c r="A307" s="56"/>
      <c r="B307" s="56"/>
      <c r="C307" s="56"/>
      <c r="D307" s="56"/>
      <c r="E307" s="90"/>
      <c r="F307" s="84"/>
    </row>
    <row r="308" ht="12.75" customHeight="1">
      <c r="A308" s="56"/>
      <c r="B308" s="56"/>
      <c r="C308" s="56"/>
      <c r="D308" s="56"/>
      <c r="E308" s="90"/>
      <c r="F308" s="84"/>
    </row>
    <row r="309" ht="12.75" customHeight="1">
      <c r="A309" s="56"/>
      <c r="B309" s="56"/>
      <c r="C309" s="56"/>
      <c r="D309" s="56"/>
      <c r="E309" s="90"/>
      <c r="F309" s="84"/>
    </row>
    <row r="310" ht="12.75" customHeight="1">
      <c r="A310" s="56"/>
      <c r="B310" s="56"/>
      <c r="C310" s="56"/>
      <c r="D310" s="56"/>
      <c r="E310" s="90"/>
      <c r="F310" s="84"/>
    </row>
    <row r="311" ht="12.75" customHeight="1">
      <c r="A311" s="56"/>
      <c r="B311" s="56"/>
      <c r="C311" s="56"/>
      <c r="D311" s="56"/>
      <c r="E311" s="90"/>
      <c r="F311" s="84"/>
    </row>
    <row r="312" ht="12.75" customHeight="1">
      <c r="A312" s="56"/>
      <c r="B312" s="56"/>
      <c r="C312" s="56"/>
      <c r="D312" s="56"/>
      <c r="E312" s="90"/>
      <c r="F312" s="84"/>
    </row>
    <row r="313" ht="12.75" customHeight="1">
      <c r="A313" s="56"/>
      <c r="B313" s="56"/>
      <c r="C313" s="56"/>
      <c r="D313" s="56"/>
      <c r="E313" s="90"/>
      <c r="F313" s="84"/>
    </row>
    <row r="314" ht="12.75" customHeight="1">
      <c r="A314" s="56"/>
      <c r="B314" s="56"/>
      <c r="C314" s="56"/>
      <c r="D314" s="56"/>
      <c r="E314" s="90"/>
      <c r="F314" s="84"/>
    </row>
    <row r="315" ht="12.75" customHeight="1">
      <c r="A315" s="56"/>
      <c r="B315" s="56"/>
      <c r="C315" s="56"/>
      <c r="D315" s="56"/>
      <c r="E315" s="90"/>
      <c r="F315" s="84"/>
    </row>
    <row r="316" ht="12.75" customHeight="1">
      <c r="A316" s="56"/>
      <c r="B316" s="56"/>
      <c r="C316" s="56"/>
      <c r="D316" s="56"/>
      <c r="E316" s="90"/>
      <c r="F316" s="84"/>
    </row>
    <row r="317" ht="12.75" customHeight="1">
      <c r="A317" s="56"/>
      <c r="B317" s="56"/>
      <c r="C317" s="56"/>
      <c r="D317" s="56"/>
      <c r="E317" s="90"/>
      <c r="F317" s="84"/>
    </row>
    <row r="318" ht="12.75" customHeight="1">
      <c r="A318" s="56"/>
      <c r="B318" s="56"/>
      <c r="C318" s="56"/>
      <c r="D318" s="56"/>
      <c r="E318" s="90"/>
      <c r="F318" s="84"/>
    </row>
    <row r="319" ht="12.75" customHeight="1">
      <c r="A319" s="56"/>
      <c r="B319" s="56"/>
      <c r="C319" s="56"/>
      <c r="D319" s="56"/>
      <c r="E319" s="90"/>
      <c r="F319" s="84"/>
    </row>
    <row r="320" ht="12.75" customHeight="1">
      <c r="A320" s="56"/>
      <c r="B320" s="56"/>
      <c r="C320" s="56"/>
      <c r="D320" s="56"/>
      <c r="E320" s="90"/>
      <c r="F320" s="84"/>
    </row>
    <row r="321" ht="12.75" customHeight="1">
      <c r="A321" s="56"/>
      <c r="B321" s="56"/>
      <c r="C321" s="56"/>
      <c r="D321" s="56"/>
      <c r="E321" s="90"/>
      <c r="F321" s="84"/>
    </row>
    <row r="322" ht="12.75" customHeight="1">
      <c r="A322" s="56"/>
      <c r="B322" s="56"/>
      <c r="C322" s="56"/>
      <c r="D322" s="56"/>
      <c r="E322" s="90"/>
      <c r="F322" s="84"/>
    </row>
    <row r="323" ht="12.75" customHeight="1">
      <c r="A323" s="56"/>
      <c r="B323" s="56"/>
      <c r="C323" s="56"/>
      <c r="D323" s="56"/>
      <c r="E323" s="90"/>
      <c r="F323" s="84"/>
    </row>
    <row r="324" ht="12.75" customHeight="1">
      <c r="A324" s="56"/>
      <c r="B324" s="56"/>
      <c r="C324" s="56"/>
      <c r="D324" s="56"/>
      <c r="E324" s="90"/>
      <c r="F324" s="84"/>
    </row>
    <row r="325" ht="12.75" customHeight="1">
      <c r="A325" s="56"/>
      <c r="B325" s="56"/>
      <c r="C325" s="56"/>
      <c r="D325" s="56"/>
      <c r="E325" s="90"/>
      <c r="F325" s="84"/>
    </row>
    <row r="326" ht="12.75" customHeight="1">
      <c r="A326" s="56"/>
      <c r="B326" s="56"/>
      <c r="C326" s="56"/>
      <c r="D326" s="56"/>
      <c r="E326" s="90"/>
      <c r="F326" s="84"/>
    </row>
    <row r="327" ht="12.75" customHeight="1">
      <c r="A327" s="56"/>
      <c r="B327" s="56"/>
      <c r="C327" s="56"/>
      <c r="D327" s="56"/>
      <c r="E327" s="90"/>
      <c r="F327" s="84"/>
    </row>
    <row r="328" ht="12.75" customHeight="1">
      <c r="A328" s="56"/>
      <c r="B328" s="56"/>
      <c r="C328" s="56"/>
      <c r="D328" s="56"/>
      <c r="E328" s="90"/>
      <c r="F328" s="84"/>
    </row>
    <row r="329" ht="12.75" customHeight="1">
      <c r="A329" s="56"/>
      <c r="B329" s="56"/>
      <c r="C329" s="56"/>
      <c r="D329" s="56"/>
      <c r="E329" s="90"/>
      <c r="F329" s="84"/>
    </row>
    <row r="330" ht="12.75" customHeight="1">
      <c r="A330" s="56"/>
      <c r="B330" s="56"/>
      <c r="C330" s="56"/>
      <c r="D330" s="56"/>
      <c r="E330" s="90"/>
      <c r="F330" s="84"/>
    </row>
    <row r="331" ht="12.75" customHeight="1">
      <c r="A331" s="56"/>
      <c r="B331" s="56"/>
      <c r="C331" s="56"/>
      <c r="D331" s="56"/>
      <c r="E331" s="90"/>
      <c r="F331" s="84"/>
    </row>
    <row r="332" ht="12.75" customHeight="1">
      <c r="A332" s="56"/>
      <c r="B332" s="56"/>
      <c r="C332" s="56"/>
      <c r="D332" s="56"/>
      <c r="E332" s="90"/>
      <c r="F332" s="84"/>
    </row>
    <row r="333" ht="12.75" customHeight="1">
      <c r="A333" s="56"/>
      <c r="B333" s="56"/>
      <c r="C333" s="56"/>
      <c r="D333" s="56"/>
      <c r="E333" s="90"/>
      <c r="F333" s="84"/>
    </row>
    <row r="334" ht="12.75" customHeight="1">
      <c r="A334" s="56"/>
      <c r="B334" s="56"/>
      <c r="C334" s="56"/>
      <c r="D334" s="56"/>
      <c r="E334" s="90"/>
      <c r="F334" s="84"/>
    </row>
    <row r="335" ht="12.75" customHeight="1">
      <c r="A335" s="56"/>
      <c r="B335" s="56"/>
      <c r="C335" s="56"/>
      <c r="D335" s="56"/>
      <c r="E335" s="90"/>
      <c r="F335" s="84"/>
    </row>
    <row r="336" ht="12.75" customHeight="1">
      <c r="A336" s="56"/>
      <c r="B336" s="56"/>
      <c r="C336" s="56"/>
      <c r="D336" s="56"/>
      <c r="E336" s="90"/>
      <c r="F336" s="84"/>
    </row>
    <row r="337" ht="12.75" customHeight="1">
      <c r="A337" s="56"/>
      <c r="B337" s="56"/>
      <c r="C337" s="56"/>
      <c r="D337" s="56"/>
      <c r="E337" s="90"/>
      <c r="F337" s="84"/>
    </row>
    <row r="338" ht="12.75" customHeight="1">
      <c r="A338" s="56"/>
      <c r="B338" s="56"/>
      <c r="C338" s="56"/>
      <c r="D338" s="56"/>
      <c r="E338" s="90"/>
      <c r="F338" s="84"/>
    </row>
    <row r="339" ht="12.75" customHeight="1">
      <c r="A339" s="56"/>
      <c r="B339" s="56"/>
      <c r="C339" s="56"/>
      <c r="D339" s="56"/>
      <c r="E339" s="90"/>
      <c r="F339" s="84"/>
    </row>
    <row r="340" ht="12.75" customHeight="1">
      <c r="A340" s="56"/>
      <c r="B340" s="56"/>
      <c r="C340" s="56"/>
      <c r="D340" s="56"/>
      <c r="E340" s="90"/>
      <c r="F340" s="84"/>
    </row>
    <row r="341" ht="12.75" customHeight="1">
      <c r="A341" s="56"/>
      <c r="B341" s="56"/>
      <c r="C341" s="56"/>
      <c r="D341" s="56"/>
      <c r="E341" s="90"/>
      <c r="F341" s="84"/>
    </row>
    <row r="342" ht="12.75" customHeight="1">
      <c r="A342" s="56"/>
      <c r="B342" s="56"/>
      <c r="C342" s="56"/>
      <c r="D342" s="56"/>
      <c r="E342" s="90"/>
      <c r="F342" s="84"/>
    </row>
    <row r="343" ht="12.75" customHeight="1">
      <c r="A343" s="56"/>
      <c r="B343" s="56"/>
      <c r="C343" s="56"/>
      <c r="D343" s="56"/>
      <c r="E343" s="90"/>
      <c r="F343" s="84"/>
    </row>
    <row r="344" ht="12.75" customHeight="1">
      <c r="A344" s="56"/>
      <c r="B344" s="56"/>
      <c r="C344" s="56"/>
      <c r="D344" s="56"/>
      <c r="E344" s="90"/>
      <c r="F344" s="84"/>
    </row>
    <row r="345" ht="12.75" customHeight="1">
      <c r="A345" s="56"/>
      <c r="B345" s="56"/>
      <c r="C345" s="56"/>
      <c r="D345" s="56"/>
      <c r="E345" s="90"/>
      <c r="F345" s="84"/>
    </row>
    <row r="346" ht="12.75" customHeight="1">
      <c r="A346" s="56"/>
      <c r="B346" s="56"/>
      <c r="C346" s="56"/>
      <c r="D346" s="56"/>
      <c r="E346" s="90"/>
      <c r="F346" s="84"/>
    </row>
    <row r="347" ht="12.75" customHeight="1">
      <c r="A347" s="56"/>
      <c r="B347" s="56"/>
      <c r="C347" s="56"/>
      <c r="D347" s="56"/>
      <c r="E347" s="90"/>
      <c r="F347" s="84"/>
    </row>
    <row r="348" ht="12.75" customHeight="1">
      <c r="A348" s="56"/>
      <c r="B348" s="56"/>
      <c r="C348" s="56"/>
      <c r="D348" s="56"/>
      <c r="E348" s="90"/>
      <c r="F348" s="84"/>
    </row>
    <row r="349" ht="12.75" customHeight="1">
      <c r="A349" s="56"/>
      <c r="B349" s="56"/>
      <c r="C349" s="56"/>
      <c r="D349" s="56"/>
      <c r="E349" s="90"/>
      <c r="F349" s="84"/>
    </row>
    <row r="350" ht="12.75" customHeight="1">
      <c r="A350" s="56"/>
      <c r="B350" s="56"/>
      <c r="C350" s="56"/>
      <c r="D350" s="56"/>
      <c r="E350" s="90"/>
      <c r="F350" s="84"/>
    </row>
    <row r="351" ht="12.75" customHeight="1">
      <c r="A351" s="56"/>
      <c r="B351" s="56"/>
      <c r="C351" s="56"/>
      <c r="D351" s="56"/>
      <c r="E351" s="90"/>
      <c r="F351" s="84"/>
    </row>
    <row r="352" ht="12.75" customHeight="1">
      <c r="A352" s="56"/>
      <c r="B352" s="56"/>
      <c r="C352" s="56"/>
      <c r="D352" s="56"/>
      <c r="E352" s="90"/>
      <c r="F352" s="84"/>
    </row>
    <row r="353" ht="12.75" customHeight="1">
      <c r="A353" s="56"/>
      <c r="B353" s="56"/>
      <c r="C353" s="56"/>
      <c r="D353" s="56"/>
      <c r="E353" s="90"/>
      <c r="F353" s="84"/>
    </row>
    <row r="354" ht="12.75" customHeight="1">
      <c r="A354" s="56"/>
      <c r="B354" s="56"/>
      <c r="C354" s="56"/>
      <c r="D354" s="56"/>
      <c r="E354" s="90"/>
      <c r="F354" s="84"/>
    </row>
    <row r="355" ht="12.75" customHeight="1">
      <c r="A355" s="56"/>
      <c r="B355" s="56"/>
      <c r="C355" s="56"/>
      <c r="D355" s="56"/>
      <c r="E355" s="90"/>
      <c r="F355" s="84"/>
    </row>
    <row r="356" ht="12.75" customHeight="1">
      <c r="A356" s="56"/>
      <c r="B356" s="56"/>
      <c r="C356" s="56"/>
      <c r="D356" s="56"/>
      <c r="E356" s="90"/>
      <c r="F356" s="84"/>
    </row>
    <row r="357" ht="12.75" customHeight="1">
      <c r="A357" s="56"/>
      <c r="B357" s="56"/>
      <c r="C357" s="56"/>
      <c r="D357" s="56"/>
      <c r="E357" s="90"/>
      <c r="F357" s="84"/>
    </row>
    <row r="358" ht="12.75" customHeight="1">
      <c r="A358" s="56"/>
      <c r="B358" s="56"/>
      <c r="C358" s="56"/>
      <c r="D358" s="56"/>
      <c r="E358" s="90"/>
      <c r="F358" s="84"/>
    </row>
    <row r="359" ht="12.75" customHeight="1">
      <c r="A359" s="56"/>
      <c r="B359" s="56"/>
      <c r="C359" s="56"/>
      <c r="D359" s="56"/>
      <c r="E359" s="90"/>
      <c r="F359" s="84"/>
    </row>
    <row r="360" ht="12.75" customHeight="1">
      <c r="A360" s="56"/>
      <c r="B360" s="56"/>
      <c r="C360" s="56"/>
      <c r="D360" s="56"/>
      <c r="E360" s="90"/>
      <c r="F360" s="84"/>
    </row>
    <row r="361" ht="12.75" customHeight="1">
      <c r="A361" s="56"/>
      <c r="B361" s="56"/>
      <c r="C361" s="56"/>
      <c r="D361" s="56"/>
      <c r="E361" s="90"/>
      <c r="F361" s="84"/>
    </row>
    <row r="362" ht="12.75" customHeight="1">
      <c r="A362" s="56"/>
      <c r="B362" s="56"/>
      <c r="C362" s="56"/>
      <c r="D362" s="56"/>
      <c r="E362" s="90"/>
      <c r="F362" s="84"/>
    </row>
    <row r="363" ht="12.75" customHeight="1">
      <c r="A363" s="56"/>
      <c r="B363" s="56"/>
      <c r="C363" s="56"/>
      <c r="D363" s="56"/>
      <c r="E363" s="90"/>
      <c r="F363" s="84"/>
    </row>
    <row r="364" ht="12.75" customHeight="1">
      <c r="A364" s="56"/>
      <c r="B364" s="56"/>
      <c r="C364" s="56"/>
      <c r="D364" s="56"/>
      <c r="E364" s="90"/>
      <c r="F364" s="84"/>
    </row>
    <row r="365" ht="12.75" customHeight="1">
      <c r="A365" s="56"/>
      <c r="B365" s="56"/>
      <c r="C365" s="56"/>
      <c r="D365" s="56"/>
      <c r="E365" s="90"/>
      <c r="F365" s="84"/>
    </row>
    <row r="366" ht="12.75" customHeight="1">
      <c r="A366" s="56"/>
      <c r="B366" s="56"/>
      <c r="C366" s="56"/>
      <c r="D366" s="56"/>
      <c r="E366" s="90"/>
      <c r="F366" s="84"/>
    </row>
    <row r="367" ht="12.75" customHeight="1">
      <c r="A367" s="56"/>
      <c r="B367" s="56"/>
      <c r="C367" s="56"/>
      <c r="D367" s="56"/>
      <c r="E367" s="90"/>
      <c r="F367" s="84"/>
    </row>
    <row r="368" ht="12.75" customHeight="1">
      <c r="A368" s="56"/>
      <c r="B368" s="56"/>
      <c r="C368" s="56"/>
      <c r="D368" s="56"/>
      <c r="E368" s="90"/>
      <c r="F368" s="84"/>
    </row>
    <row r="369" ht="12.75" customHeight="1">
      <c r="A369" s="56"/>
      <c r="B369" s="56"/>
      <c r="C369" s="56"/>
      <c r="D369" s="56"/>
      <c r="E369" s="90"/>
      <c r="F369" s="84"/>
    </row>
    <row r="370" ht="12.75" customHeight="1">
      <c r="A370" s="56"/>
      <c r="B370" s="56"/>
      <c r="C370" s="56"/>
      <c r="D370" s="56"/>
      <c r="E370" s="90"/>
      <c r="F370" s="84"/>
    </row>
    <row r="371" ht="12.75" customHeight="1">
      <c r="A371" s="56"/>
      <c r="B371" s="56"/>
      <c r="C371" s="56"/>
      <c r="D371" s="56"/>
      <c r="E371" s="90"/>
      <c r="F371" s="84"/>
    </row>
    <row r="372" ht="12.75" customHeight="1">
      <c r="A372" s="56"/>
      <c r="B372" s="56"/>
      <c r="C372" s="56"/>
      <c r="D372" s="56"/>
      <c r="E372" s="90"/>
      <c r="F372" s="84"/>
    </row>
    <row r="373" ht="12.75" customHeight="1">
      <c r="A373" s="56"/>
      <c r="B373" s="56"/>
      <c r="C373" s="56"/>
      <c r="D373" s="56"/>
      <c r="E373" s="90"/>
      <c r="F373" s="84"/>
    </row>
    <row r="374" ht="12.75" customHeight="1">
      <c r="A374" s="56"/>
      <c r="B374" s="56"/>
      <c r="C374" s="56"/>
      <c r="D374" s="56"/>
      <c r="E374" s="90"/>
      <c r="F374" s="84"/>
    </row>
    <row r="375" ht="12.75" customHeight="1">
      <c r="A375" s="56"/>
      <c r="B375" s="56"/>
      <c r="C375" s="56"/>
      <c r="D375" s="56"/>
      <c r="E375" s="90"/>
      <c r="F375" s="84"/>
    </row>
    <row r="376" ht="12.75" customHeight="1">
      <c r="A376" s="56"/>
      <c r="B376" s="56"/>
      <c r="C376" s="56"/>
      <c r="D376" s="56"/>
      <c r="E376" s="90"/>
      <c r="F376" s="84"/>
    </row>
    <row r="377" ht="12.75" customHeight="1">
      <c r="A377" s="56"/>
      <c r="B377" s="56"/>
      <c r="C377" s="56"/>
      <c r="D377" s="56"/>
      <c r="E377" s="90"/>
      <c r="F377" s="84"/>
    </row>
    <row r="378" ht="12.75" customHeight="1">
      <c r="A378" s="56"/>
      <c r="B378" s="56"/>
      <c r="C378" s="56"/>
      <c r="D378" s="56"/>
      <c r="E378" s="90"/>
      <c r="F378" s="84"/>
    </row>
    <row r="379" ht="12.75" customHeight="1">
      <c r="A379" s="56"/>
      <c r="B379" s="56"/>
      <c r="C379" s="56"/>
      <c r="D379" s="56"/>
      <c r="E379" s="90"/>
      <c r="F379" s="84"/>
    </row>
    <row r="380" ht="12.75" customHeight="1">
      <c r="A380" s="56"/>
      <c r="B380" s="56"/>
      <c r="C380" s="56"/>
      <c r="D380" s="56"/>
      <c r="E380" s="90"/>
      <c r="F380" s="84"/>
    </row>
    <row r="381" ht="12.75" customHeight="1">
      <c r="A381" s="56"/>
      <c r="B381" s="56"/>
      <c r="C381" s="56"/>
      <c r="D381" s="56"/>
      <c r="E381" s="90"/>
      <c r="F381" s="84"/>
    </row>
    <row r="382" ht="12.75" customHeight="1">
      <c r="A382" s="56"/>
      <c r="B382" s="56"/>
      <c r="C382" s="56"/>
      <c r="D382" s="56"/>
      <c r="E382" s="90"/>
      <c r="F382" s="84"/>
    </row>
    <row r="383" ht="12.75" customHeight="1">
      <c r="A383" s="56"/>
      <c r="B383" s="56"/>
      <c r="C383" s="56"/>
      <c r="D383" s="56"/>
      <c r="E383" s="90"/>
      <c r="F383" s="84"/>
    </row>
    <row r="384" ht="12.75" customHeight="1">
      <c r="A384" s="56"/>
      <c r="B384" s="56"/>
      <c r="C384" s="56"/>
      <c r="D384" s="56"/>
      <c r="E384" s="90"/>
      <c r="F384" s="84"/>
    </row>
    <row r="385" ht="12.75" customHeight="1">
      <c r="A385" s="56"/>
      <c r="B385" s="56"/>
      <c r="C385" s="56"/>
      <c r="D385" s="56"/>
      <c r="E385" s="90"/>
      <c r="F385" s="84"/>
    </row>
    <row r="386" ht="12.75" customHeight="1">
      <c r="A386" s="56"/>
      <c r="B386" s="56"/>
      <c r="C386" s="56"/>
      <c r="D386" s="56"/>
      <c r="E386" s="90"/>
      <c r="F386" s="84"/>
    </row>
    <row r="387" ht="12.75" customHeight="1">
      <c r="A387" s="56"/>
      <c r="B387" s="56"/>
      <c r="C387" s="56"/>
      <c r="D387" s="56"/>
      <c r="E387" s="90"/>
      <c r="F387" s="84"/>
    </row>
    <row r="388" ht="12.75" customHeight="1">
      <c r="A388" s="56"/>
      <c r="B388" s="56"/>
      <c r="C388" s="56"/>
      <c r="D388" s="56"/>
      <c r="E388" s="90"/>
      <c r="F388" s="84"/>
    </row>
    <row r="389" ht="12.75" customHeight="1">
      <c r="A389" s="56"/>
      <c r="B389" s="56"/>
      <c r="C389" s="56"/>
      <c r="D389" s="56"/>
      <c r="E389" s="90"/>
      <c r="F389" s="84"/>
    </row>
    <row r="390" ht="12.75" customHeight="1">
      <c r="A390" s="56"/>
      <c r="B390" s="56"/>
      <c r="C390" s="56"/>
      <c r="D390" s="56"/>
      <c r="E390" s="90"/>
      <c r="F390" s="84"/>
    </row>
    <row r="391" ht="12.75" customHeight="1">
      <c r="A391" s="56"/>
      <c r="B391" s="56"/>
      <c r="C391" s="56"/>
      <c r="D391" s="56"/>
      <c r="E391" s="90"/>
      <c r="F391" s="84"/>
    </row>
    <row r="392" ht="12.75" customHeight="1">
      <c r="A392" s="56"/>
      <c r="B392" s="56"/>
      <c r="C392" s="56"/>
      <c r="D392" s="56"/>
      <c r="E392" s="90"/>
      <c r="F392" s="84"/>
    </row>
    <row r="393" ht="12.75" customHeight="1">
      <c r="A393" s="56"/>
      <c r="B393" s="56"/>
      <c r="C393" s="56"/>
      <c r="D393" s="56"/>
      <c r="E393" s="90"/>
      <c r="F393" s="84"/>
    </row>
    <row r="394" ht="12.75" customHeight="1">
      <c r="A394" s="56"/>
      <c r="B394" s="56"/>
      <c r="C394" s="56"/>
      <c r="D394" s="56"/>
      <c r="E394" s="90"/>
      <c r="F394" s="84"/>
    </row>
    <row r="395" ht="12.75" customHeight="1">
      <c r="A395" s="56"/>
      <c r="B395" s="56"/>
      <c r="C395" s="56"/>
      <c r="D395" s="56"/>
      <c r="E395" s="90"/>
      <c r="F395" s="84"/>
    </row>
    <row r="396" ht="12.75" customHeight="1">
      <c r="A396" s="56"/>
      <c r="B396" s="56"/>
      <c r="C396" s="56"/>
      <c r="D396" s="56"/>
      <c r="E396" s="90"/>
      <c r="F396" s="84"/>
    </row>
    <row r="397" ht="12.75" customHeight="1">
      <c r="A397" s="56"/>
      <c r="B397" s="56"/>
      <c r="C397" s="56"/>
      <c r="D397" s="56"/>
      <c r="E397" s="90"/>
      <c r="F397" s="84"/>
    </row>
    <row r="398" ht="12.75" customHeight="1">
      <c r="A398" s="56"/>
      <c r="B398" s="56"/>
      <c r="C398" s="56"/>
      <c r="D398" s="56"/>
      <c r="E398" s="90"/>
      <c r="F398" s="84"/>
    </row>
    <row r="399" ht="12.75" customHeight="1">
      <c r="A399" s="56"/>
      <c r="B399" s="56"/>
      <c r="C399" s="56"/>
      <c r="D399" s="56"/>
      <c r="E399" s="90"/>
      <c r="F399" s="84"/>
    </row>
    <row r="400" ht="12.75" customHeight="1">
      <c r="A400" s="56"/>
      <c r="B400" s="56"/>
      <c r="C400" s="56"/>
      <c r="D400" s="56"/>
      <c r="E400" s="90"/>
      <c r="F400" s="84"/>
    </row>
    <row r="401" ht="12.75" customHeight="1">
      <c r="A401" s="56"/>
      <c r="B401" s="56"/>
      <c r="C401" s="56"/>
      <c r="D401" s="56"/>
      <c r="E401" s="90"/>
      <c r="F401" s="84"/>
    </row>
    <row r="402" ht="12.75" customHeight="1">
      <c r="A402" s="56"/>
      <c r="B402" s="56"/>
      <c r="C402" s="56"/>
      <c r="D402" s="56"/>
      <c r="E402" s="90"/>
      <c r="F402" s="84"/>
    </row>
    <row r="403" ht="12.75" customHeight="1">
      <c r="A403" s="56"/>
      <c r="B403" s="56"/>
      <c r="C403" s="56"/>
      <c r="D403" s="56"/>
      <c r="E403" s="90"/>
      <c r="F403" s="84"/>
    </row>
    <row r="404" ht="12.75" customHeight="1">
      <c r="A404" s="56"/>
      <c r="B404" s="56"/>
      <c r="C404" s="56"/>
      <c r="D404" s="56"/>
      <c r="E404" s="90"/>
      <c r="F404" s="84"/>
    </row>
    <row r="405" ht="12.75" customHeight="1">
      <c r="A405" s="56"/>
      <c r="B405" s="56"/>
      <c r="C405" s="56"/>
      <c r="D405" s="56"/>
      <c r="E405" s="90"/>
      <c r="F405" s="84"/>
    </row>
    <row r="406" ht="12.75" customHeight="1">
      <c r="A406" s="56"/>
      <c r="B406" s="56"/>
      <c r="C406" s="56"/>
      <c r="D406" s="56"/>
      <c r="E406" s="90"/>
      <c r="F406" s="84"/>
    </row>
    <row r="407" ht="12.75" customHeight="1">
      <c r="A407" s="56"/>
      <c r="B407" s="56"/>
      <c r="C407" s="56"/>
      <c r="D407" s="56"/>
      <c r="E407" s="90"/>
      <c r="F407" s="84"/>
    </row>
    <row r="408" ht="12.75" customHeight="1">
      <c r="A408" s="56"/>
      <c r="B408" s="56"/>
      <c r="C408" s="56"/>
      <c r="D408" s="56"/>
      <c r="E408" s="90"/>
      <c r="F408" s="84"/>
    </row>
    <row r="409" ht="12.75" customHeight="1">
      <c r="A409" s="56"/>
      <c r="B409" s="56"/>
      <c r="C409" s="56"/>
      <c r="D409" s="56"/>
      <c r="E409" s="90"/>
      <c r="F409" s="84"/>
    </row>
    <row r="410" ht="12.75" customHeight="1">
      <c r="A410" s="56"/>
      <c r="B410" s="56"/>
      <c r="C410" s="56"/>
      <c r="D410" s="56"/>
      <c r="E410" s="90"/>
      <c r="F410" s="84"/>
    </row>
    <row r="411" ht="12.75" customHeight="1">
      <c r="A411" s="56"/>
      <c r="B411" s="56"/>
      <c r="C411" s="56"/>
      <c r="D411" s="56"/>
      <c r="E411" s="90"/>
      <c r="F411" s="84"/>
    </row>
    <row r="412" ht="12.75" customHeight="1">
      <c r="A412" s="56"/>
      <c r="B412" s="56"/>
      <c r="C412" s="56"/>
      <c r="D412" s="56"/>
      <c r="E412" s="90"/>
      <c r="F412" s="84"/>
    </row>
    <row r="413" ht="12.75" customHeight="1">
      <c r="A413" s="56"/>
      <c r="B413" s="56"/>
      <c r="C413" s="56"/>
      <c r="D413" s="56"/>
      <c r="E413" s="90"/>
      <c r="F413" s="84"/>
    </row>
    <row r="414" ht="12.75" customHeight="1">
      <c r="A414" s="56"/>
      <c r="B414" s="56"/>
      <c r="C414" s="56"/>
      <c r="D414" s="56"/>
      <c r="E414" s="90"/>
      <c r="F414" s="84"/>
    </row>
    <row r="415" ht="12.75" customHeight="1">
      <c r="A415" s="56"/>
      <c r="B415" s="56"/>
      <c r="C415" s="56"/>
      <c r="D415" s="56"/>
      <c r="E415" s="90"/>
      <c r="F415" s="84"/>
    </row>
    <row r="416" ht="12.75" customHeight="1">
      <c r="A416" s="56"/>
      <c r="B416" s="56"/>
      <c r="C416" s="56"/>
      <c r="D416" s="56"/>
      <c r="E416" s="90"/>
      <c r="F416" s="84"/>
    </row>
    <row r="417" ht="12.75" customHeight="1">
      <c r="A417" s="56"/>
      <c r="B417" s="56"/>
      <c r="C417" s="56"/>
      <c r="D417" s="56"/>
      <c r="E417" s="90"/>
      <c r="F417" s="84"/>
    </row>
    <row r="418" ht="12.75" customHeight="1">
      <c r="A418" s="56"/>
      <c r="B418" s="56"/>
      <c r="C418" s="56"/>
      <c r="D418" s="56"/>
      <c r="E418" s="90"/>
      <c r="F418" s="84"/>
    </row>
    <row r="419" ht="12.75" customHeight="1">
      <c r="A419" s="56"/>
      <c r="B419" s="56"/>
      <c r="C419" s="56"/>
      <c r="D419" s="56"/>
      <c r="E419" s="90"/>
      <c r="F419" s="84"/>
    </row>
    <row r="420" ht="12.75" customHeight="1">
      <c r="A420" s="56"/>
      <c r="B420" s="56"/>
      <c r="C420" s="56"/>
      <c r="D420" s="56"/>
      <c r="E420" s="90"/>
      <c r="F420" s="84"/>
    </row>
    <row r="421" ht="12.75" customHeight="1">
      <c r="A421" s="56"/>
      <c r="B421" s="56"/>
      <c r="C421" s="56"/>
      <c r="D421" s="56"/>
      <c r="E421" s="90"/>
      <c r="F421" s="84"/>
    </row>
    <row r="422" ht="12.75" customHeight="1">
      <c r="A422" s="56"/>
      <c r="B422" s="56"/>
      <c r="C422" s="56"/>
      <c r="D422" s="56"/>
      <c r="E422" s="90"/>
      <c r="F422" s="84"/>
    </row>
    <row r="423" ht="12.75" customHeight="1">
      <c r="A423" s="56"/>
      <c r="B423" s="56"/>
      <c r="C423" s="56"/>
      <c r="D423" s="56"/>
      <c r="E423" s="90"/>
      <c r="F423" s="84"/>
    </row>
    <row r="424" ht="12.75" customHeight="1">
      <c r="A424" s="56"/>
      <c r="B424" s="56"/>
      <c r="C424" s="56"/>
      <c r="D424" s="56"/>
      <c r="E424" s="90"/>
      <c r="F424" s="84"/>
    </row>
    <row r="425" ht="12.75" customHeight="1">
      <c r="A425" s="56"/>
      <c r="B425" s="56"/>
      <c r="C425" s="56"/>
      <c r="D425" s="56"/>
      <c r="E425" s="90"/>
      <c r="F425" s="84"/>
    </row>
    <row r="426" ht="12.75" customHeight="1">
      <c r="A426" s="56"/>
      <c r="B426" s="56"/>
      <c r="C426" s="56"/>
      <c r="D426" s="56"/>
      <c r="E426" s="90"/>
      <c r="F426" s="84"/>
    </row>
    <row r="427" ht="12.75" customHeight="1">
      <c r="A427" s="56"/>
      <c r="B427" s="56"/>
      <c r="C427" s="56"/>
      <c r="D427" s="56"/>
      <c r="E427" s="90"/>
      <c r="F427" s="84"/>
    </row>
    <row r="428" ht="12.75" customHeight="1">
      <c r="A428" s="56"/>
      <c r="B428" s="56"/>
      <c r="C428" s="56"/>
      <c r="D428" s="56"/>
      <c r="E428" s="90"/>
      <c r="F428" s="84"/>
    </row>
    <row r="429" ht="12.75" customHeight="1">
      <c r="A429" s="56"/>
      <c r="B429" s="56"/>
      <c r="C429" s="56"/>
      <c r="D429" s="56"/>
      <c r="E429" s="90"/>
      <c r="F429" s="84"/>
    </row>
    <row r="430" ht="12.75" customHeight="1">
      <c r="A430" s="56"/>
      <c r="B430" s="56"/>
      <c r="C430" s="56"/>
      <c r="D430" s="56"/>
      <c r="E430" s="90"/>
      <c r="F430" s="84"/>
    </row>
    <row r="431" ht="12.75" customHeight="1">
      <c r="A431" s="56"/>
      <c r="B431" s="56"/>
      <c r="C431" s="56"/>
      <c r="D431" s="56"/>
      <c r="E431" s="90"/>
      <c r="F431" s="84"/>
    </row>
    <row r="432" ht="12.75" customHeight="1">
      <c r="A432" s="56"/>
      <c r="B432" s="56"/>
      <c r="C432" s="56"/>
      <c r="D432" s="56"/>
      <c r="E432" s="90"/>
      <c r="F432" s="84"/>
    </row>
    <row r="433" ht="12.75" customHeight="1">
      <c r="A433" s="56"/>
      <c r="B433" s="56"/>
      <c r="C433" s="56"/>
      <c r="D433" s="56"/>
      <c r="E433" s="90"/>
      <c r="F433" s="84"/>
    </row>
    <row r="434" ht="12.75" customHeight="1">
      <c r="A434" s="56"/>
      <c r="B434" s="56"/>
      <c r="C434" s="56"/>
      <c r="D434" s="56"/>
      <c r="E434" s="90"/>
      <c r="F434" s="84"/>
    </row>
    <row r="435" ht="12.75" customHeight="1">
      <c r="A435" s="56"/>
      <c r="B435" s="56"/>
      <c r="C435" s="56"/>
      <c r="D435" s="56"/>
      <c r="E435" s="90"/>
      <c r="F435" s="84"/>
    </row>
    <row r="436" ht="12.75" customHeight="1">
      <c r="A436" s="56"/>
      <c r="B436" s="56"/>
      <c r="C436" s="56"/>
      <c r="D436" s="56"/>
      <c r="E436" s="90"/>
      <c r="F436" s="84"/>
    </row>
    <row r="437" ht="12.75" customHeight="1">
      <c r="A437" s="56"/>
      <c r="B437" s="56"/>
      <c r="C437" s="56"/>
      <c r="D437" s="56"/>
      <c r="E437" s="90"/>
      <c r="F437" s="84"/>
    </row>
    <row r="438" ht="12.75" customHeight="1">
      <c r="A438" s="56"/>
      <c r="B438" s="56"/>
      <c r="C438" s="56"/>
      <c r="D438" s="56"/>
      <c r="E438" s="90"/>
      <c r="F438" s="84"/>
    </row>
    <row r="439" ht="12.75" customHeight="1">
      <c r="A439" s="56"/>
      <c r="B439" s="56"/>
      <c r="C439" s="56"/>
      <c r="D439" s="56"/>
      <c r="E439" s="90"/>
      <c r="F439" s="84"/>
    </row>
    <row r="440" ht="12.75" customHeight="1">
      <c r="A440" s="56"/>
      <c r="B440" s="56"/>
      <c r="C440" s="56"/>
      <c r="D440" s="56"/>
      <c r="E440" s="90"/>
      <c r="F440" s="84"/>
    </row>
    <row r="441" ht="12.75" customHeight="1">
      <c r="A441" s="56"/>
      <c r="B441" s="56"/>
      <c r="C441" s="56"/>
      <c r="D441" s="56"/>
      <c r="E441" s="90"/>
      <c r="F441" s="84"/>
    </row>
    <row r="442" ht="12.75" customHeight="1">
      <c r="A442" s="56"/>
      <c r="B442" s="56"/>
      <c r="C442" s="56"/>
      <c r="D442" s="56"/>
      <c r="E442" s="90"/>
      <c r="F442" s="84"/>
    </row>
    <row r="443" ht="12.75" customHeight="1">
      <c r="A443" s="56"/>
      <c r="B443" s="56"/>
      <c r="C443" s="56"/>
      <c r="D443" s="56"/>
      <c r="E443" s="90"/>
      <c r="F443" s="84"/>
    </row>
    <row r="444" ht="12.75" customHeight="1">
      <c r="A444" s="56"/>
      <c r="B444" s="56"/>
      <c r="C444" s="56"/>
      <c r="D444" s="56"/>
      <c r="E444" s="90"/>
      <c r="F444" s="84"/>
    </row>
    <row r="445" ht="12.75" customHeight="1">
      <c r="A445" s="56"/>
      <c r="B445" s="56"/>
      <c r="C445" s="56"/>
      <c r="D445" s="56"/>
      <c r="E445" s="90"/>
      <c r="F445" s="84"/>
    </row>
    <row r="446" ht="12.75" customHeight="1">
      <c r="A446" s="56"/>
      <c r="B446" s="56"/>
      <c r="C446" s="56"/>
      <c r="D446" s="56"/>
      <c r="E446" s="90"/>
      <c r="F446" s="84"/>
    </row>
    <row r="447" ht="12.75" customHeight="1">
      <c r="A447" s="56"/>
      <c r="B447" s="56"/>
      <c r="C447" s="56"/>
      <c r="D447" s="56"/>
      <c r="E447" s="90"/>
      <c r="F447" s="84"/>
    </row>
    <row r="448" ht="12.75" customHeight="1">
      <c r="A448" s="56"/>
      <c r="B448" s="56"/>
      <c r="C448" s="56"/>
      <c r="D448" s="56"/>
      <c r="E448" s="90"/>
      <c r="F448" s="84"/>
    </row>
    <row r="449" ht="12.75" customHeight="1">
      <c r="A449" s="56"/>
      <c r="B449" s="56"/>
      <c r="C449" s="56"/>
      <c r="D449" s="56"/>
      <c r="E449" s="90"/>
      <c r="F449" s="84"/>
    </row>
    <row r="450" ht="12.75" customHeight="1">
      <c r="A450" s="56"/>
      <c r="B450" s="56"/>
      <c r="C450" s="56"/>
      <c r="D450" s="56"/>
      <c r="E450" s="90"/>
      <c r="F450" s="84"/>
    </row>
    <row r="451" ht="12.75" customHeight="1">
      <c r="A451" s="56"/>
      <c r="B451" s="56"/>
      <c r="C451" s="56"/>
      <c r="D451" s="56"/>
      <c r="E451" s="90"/>
      <c r="F451" s="84"/>
    </row>
    <row r="452" ht="12.75" customHeight="1">
      <c r="A452" s="56"/>
      <c r="B452" s="56"/>
      <c r="C452" s="56"/>
      <c r="D452" s="56"/>
      <c r="E452" s="90"/>
      <c r="F452" s="84"/>
    </row>
    <row r="453" ht="12.75" customHeight="1">
      <c r="A453" s="56"/>
      <c r="B453" s="56"/>
      <c r="C453" s="56"/>
      <c r="D453" s="56"/>
      <c r="E453" s="90"/>
      <c r="F453" s="84"/>
    </row>
    <row r="454" ht="12.75" customHeight="1">
      <c r="A454" s="56"/>
      <c r="B454" s="56"/>
      <c r="C454" s="56"/>
      <c r="D454" s="56"/>
      <c r="E454" s="90"/>
      <c r="F454" s="84"/>
    </row>
    <row r="455" ht="12.75" customHeight="1">
      <c r="A455" s="56"/>
      <c r="B455" s="56"/>
      <c r="C455" s="56"/>
      <c r="D455" s="56"/>
      <c r="E455" s="90"/>
      <c r="F455" s="84"/>
    </row>
    <row r="456" ht="12.75" customHeight="1">
      <c r="A456" s="56"/>
      <c r="B456" s="56"/>
      <c r="C456" s="56"/>
      <c r="D456" s="56"/>
      <c r="E456" s="90"/>
      <c r="F456" s="84"/>
    </row>
    <row r="457" ht="12.75" customHeight="1">
      <c r="A457" s="56"/>
      <c r="B457" s="56"/>
      <c r="C457" s="56"/>
      <c r="D457" s="56"/>
      <c r="E457" s="90"/>
      <c r="F457" s="84"/>
    </row>
    <row r="458" ht="12.75" customHeight="1">
      <c r="A458" s="56"/>
      <c r="B458" s="56"/>
      <c r="C458" s="56"/>
      <c r="D458" s="56"/>
      <c r="E458" s="90"/>
      <c r="F458" s="84"/>
    </row>
    <row r="459" ht="12.75" customHeight="1">
      <c r="A459" s="56"/>
      <c r="B459" s="56"/>
      <c r="C459" s="56"/>
      <c r="D459" s="56"/>
      <c r="E459" s="90"/>
      <c r="F459" s="84"/>
    </row>
    <row r="460" ht="12.75" customHeight="1">
      <c r="A460" s="56"/>
      <c r="B460" s="56"/>
      <c r="C460" s="56"/>
      <c r="D460" s="56"/>
      <c r="E460" s="90"/>
      <c r="F460" s="84"/>
    </row>
    <row r="461" ht="12.75" customHeight="1">
      <c r="A461" s="56"/>
      <c r="B461" s="56"/>
      <c r="C461" s="56"/>
      <c r="D461" s="56"/>
      <c r="E461" s="90"/>
      <c r="F461" s="84"/>
    </row>
    <row r="462" ht="12.75" customHeight="1">
      <c r="A462" s="56"/>
      <c r="B462" s="56"/>
      <c r="C462" s="56"/>
      <c r="D462" s="56"/>
      <c r="E462" s="90"/>
      <c r="F462" s="84"/>
    </row>
    <row r="463" ht="12.75" customHeight="1">
      <c r="A463" s="56"/>
      <c r="B463" s="56"/>
      <c r="C463" s="56"/>
      <c r="D463" s="56"/>
      <c r="E463" s="90"/>
      <c r="F463" s="84"/>
    </row>
    <row r="464" ht="12.75" customHeight="1">
      <c r="A464" s="56"/>
      <c r="B464" s="56"/>
      <c r="C464" s="56"/>
      <c r="D464" s="56"/>
      <c r="E464" s="90"/>
      <c r="F464" s="84"/>
    </row>
    <row r="465" ht="12.75" customHeight="1">
      <c r="A465" s="56"/>
      <c r="B465" s="56"/>
      <c r="C465" s="56"/>
      <c r="D465" s="56"/>
      <c r="E465" s="90"/>
      <c r="F465" s="84"/>
    </row>
    <row r="466" ht="12.75" customHeight="1">
      <c r="A466" s="56"/>
      <c r="B466" s="56"/>
      <c r="C466" s="56"/>
      <c r="D466" s="56"/>
      <c r="E466" s="90"/>
      <c r="F466" s="84"/>
    </row>
    <row r="467" ht="12.75" customHeight="1">
      <c r="A467" s="56"/>
      <c r="B467" s="56"/>
      <c r="C467" s="56"/>
      <c r="D467" s="56"/>
      <c r="E467" s="90"/>
      <c r="F467" s="84"/>
    </row>
    <row r="468" ht="12.75" customHeight="1">
      <c r="A468" s="56"/>
      <c r="B468" s="56"/>
      <c r="C468" s="56"/>
      <c r="D468" s="56"/>
      <c r="E468" s="90"/>
      <c r="F468" s="84"/>
    </row>
    <row r="469" ht="12.75" customHeight="1">
      <c r="A469" s="56"/>
      <c r="B469" s="56"/>
      <c r="C469" s="56"/>
      <c r="D469" s="56"/>
      <c r="E469" s="90"/>
      <c r="F469" s="84"/>
    </row>
    <row r="470" ht="12.75" customHeight="1">
      <c r="A470" s="56"/>
      <c r="B470" s="56"/>
      <c r="C470" s="56"/>
      <c r="D470" s="56"/>
      <c r="E470" s="90"/>
      <c r="F470" s="84"/>
    </row>
    <row r="471" ht="12.75" customHeight="1">
      <c r="A471" s="56"/>
      <c r="B471" s="56"/>
      <c r="C471" s="56"/>
      <c r="D471" s="56"/>
      <c r="E471" s="90"/>
      <c r="F471" s="84"/>
    </row>
    <row r="472" ht="12.75" customHeight="1">
      <c r="A472" s="56"/>
      <c r="B472" s="56"/>
      <c r="C472" s="56"/>
      <c r="D472" s="56"/>
      <c r="E472" s="90"/>
      <c r="F472" s="84"/>
    </row>
    <row r="473" ht="12.75" customHeight="1">
      <c r="A473" s="56"/>
      <c r="B473" s="56"/>
      <c r="C473" s="56"/>
      <c r="D473" s="56"/>
      <c r="E473" s="90"/>
      <c r="F473" s="84"/>
    </row>
    <row r="474" ht="12.75" customHeight="1">
      <c r="A474" s="56"/>
      <c r="B474" s="56"/>
      <c r="C474" s="56"/>
      <c r="D474" s="56"/>
      <c r="E474" s="90"/>
      <c r="F474" s="84"/>
    </row>
    <row r="475" ht="12.75" customHeight="1">
      <c r="A475" s="56"/>
      <c r="B475" s="56"/>
      <c r="C475" s="56"/>
      <c r="D475" s="56"/>
      <c r="E475" s="90"/>
      <c r="F475" s="84"/>
    </row>
    <row r="476" ht="12.75" customHeight="1">
      <c r="A476" s="56"/>
      <c r="B476" s="56"/>
      <c r="C476" s="56"/>
      <c r="D476" s="56"/>
      <c r="E476" s="90"/>
      <c r="F476" s="84"/>
    </row>
    <row r="477" ht="12.75" customHeight="1">
      <c r="A477" s="56"/>
      <c r="B477" s="56"/>
      <c r="C477" s="56"/>
      <c r="D477" s="56"/>
      <c r="E477" s="90"/>
      <c r="F477" s="84"/>
    </row>
    <row r="478" ht="12.75" customHeight="1">
      <c r="A478" s="56"/>
      <c r="B478" s="56"/>
      <c r="C478" s="56"/>
      <c r="D478" s="56"/>
      <c r="E478" s="90"/>
      <c r="F478" s="84"/>
    </row>
    <row r="479" ht="12.75" customHeight="1">
      <c r="A479" s="56"/>
      <c r="B479" s="56"/>
      <c r="C479" s="56"/>
      <c r="D479" s="56"/>
      <c r="E479" s="90"/>
      <c r="F479" s="84"/>
    </row>
    <row r="480" ht="12.75" customHeight="1">
      <c r="A480" s="56"/>
      <c r="B480" s="56"/>
      <c r="C480" s="56"/>
      <c r="D480" s="56"/>
      <c r="E480" s="90"/>
      <c r="F480" s="84"/>
    </row>
    <row r="481" ht="12.75" customHeight="1">
      <c r="A481" s="56"/>
      <c r="B481" s="56"/>
      <c r="C481" s="56"/>
      <c r="D481" s="56"/>
      <c r="E481" s="90"/>
      <c r="F481" s="84"/>
    </row>
    <row r="482" ht="12.75" customHeight="1">
      <c r="A482" s="56"/>
      <c r="B482" s="56"/>
      <c r="C482" s="56"/>
      <c r="D482" s="56"/>
      <c r="E482" s="90"/>
      <c r="F482" s="84"/>
    </row>
    <row r="483" ht="12.75" customHeight="1">
      <c r="A483" s="56"/>
      <c r="B483" s="56"/>
      <c r="C483" s="56"/>
      <c r="D483" s="56"/>
      <c r="E483" s="90"/>
      <c r="F483" s="84"/>
    </row>
    <row r="484" ht="12.75" customHeight="1">
      <c r="A484" s="56"/>
      <c r="B484" s="56"/>
      <c r="C484" s="56"/>
      <c r="D484" s="56"/>
      <c r="E484" s="90"/>
      <c r="F484" s="84"/>
    </row>
    <row r="485" ht="12.75" customHeight="1">
      <c r="A485" s="56"/>
      <c r="B485" s="56"/>
      <c r="C485" s="56"/>
      <c r="D485" s="56"/>
      <c r="E485" s="90"/>
      <c r="F485" s="84"/>
    </row>
    <row r="486" ht="12.75" customHeight="1">
      <c r="A486" s="56"/>
      <c r="B486" s="56"/>
      <c r="C486" s="56"/>
      <c r="D486" s="56"/>
      <c r="E486" s="90"/>
      <c r="F486" s="84"/>
    </row>
    <row r="487" ht="12.75" customHeight="1">
      <c r="A487" s="56"/>
      <c r="B487" s="56"/>
      <c r="C487" s="56"/>
      <c r="D487" s="56"/>
      <c r="E487" s="90"/>
      <c r="F487" s="84"/>
    </row>
    <row r="488" ht="12.75" customHeight="1">
      <c r="A488" s="56"/>
      <c r="B488" s="56"/>
      <c r="C488" s="56"/>
      <c r="D488" s="56"/>
      <c r="E488" s="90"/>
      <c r="F488" s="84"/>
    </row>
    <row r="489" ht="12.75" customHeight="1">
      <c r="A489" s="56"/>
      <c r="B489" s="56"/>
      <c r="C489" s="56"/>
      <c r="D489" s="56"/>
      <c r="E489" s="90"/>
      <c r="F489" s="84"/>
    </row>
    <row r="490" ht="12.75" customHeight="1">
      <c r="A490" s="56"/>
      <c r="B490" s="56"/>
      <c r="C490" s="56"/>
      <c r="D490" s="56"/>
      <c r="E490" s="90"/>
      <c r="F490" s="84"/>
    </row>
    <row r="491" ht="12.75" customHeight="1">
      <c r="A491" s="56"/>
      <c r="B491" s="56"/>
      <c r="C491" s="56"/>
      <c r="D491" s="56"/>
      <c r="E491" s="90"/>
      <c r="F491" s="84"/>
    </row>
    <row r="492" ht="12.75" customHeight="1">
      <c r="A492" s="56"/>
      <c r="B492" s="56"/>
      <c r="C492" s="56"/>
      <c r="D492" s="56"/>
      <c r="E492" s="90"/>
      <c r="F492" s="84"/>
    </row>
    <row r="493" ht="12.75" customHeight="1">
      <c r="A493" s="56"/>
      <c r="B493" s="56"/>
      <c r="C493" s="56"/>
      <c r="D493" s="56"/>
      <c r="E493" s="90"/>
      <c r="F493" s="84"/>
    </row>
    <row r="494" ht="12.75" customHeight="1">
      <c r="A494" s="56"/>
      <c r="B494" s="56"/>
      <c r="C494" s="56"/>
      <c r="D494" s="56"/>
      <c r="E494" s="90"/>
      <c r="F494" s="84"/>
    </row>
    <row r="495" ht="12.75" customHeight="1">
      <c r="A495" s="56"/>
      <c r="B495" s="56"/>
      <c r="C495" s="56"/>
      <c r="D495" s="56"/>
      <c r="E495" s="90"/>
      <c r="F495" s="84"/>
    </row>
    <row r="496" ht="12.75" customHeight="1">
      <c r="A496" s="56"/>
      <c r="B496" s="56"/>
      <c r="C496" s="56"/>
      <c r="D496" s="56"/>
      <c r="E496" s="90"/>
      <c r="F496" s="84"/>
    </row>
    <row r="497" ht="12.75" customHeight="1">
      <c r="A497" s="56"/>
      <c r="B497" s="56"/>
      <c r="C497" s="56"/>
      <c r="D497" s="56"/>
      <c r="E497" s="90"/>
      <c r="F497" s="84"/>
    </row>
    <row r="498" ht="12.75" customHeight="1">
      <c r="A498" s="56"/>
      <c r="B498" s="56"/>
      <c r="C498" s="56"/>
      <c r="D498" s="56"/>
      <c r="E498" s="90"/>
      <c r="F498" s="84"/>
    </row>
    <row r="499" ht="12.75" customHeight="1">
      <c r="A499" s="56"/>
      <c r="B499" s="56"/>
      <c r="C499" s="56"/>
      <c r="D499" s="56"/>
      <c r="E499" s="90"/>
      <c r="F499" s="84"/>
    </row>
    <row r="500" ht="12.75" customHeight="1">
      <c r="A500" s="56"/>
      <c r="B500" s="56"/>
      <c r="C500" s="56"/>
      <c r="D500" s="56"/>
      <c r="E500" s="90"/>
      <c r="F500" s="84"/>
    </row>
    <row r="501" ht="12.75" customHeight="1">
      <c r="A501" s="56"/>
      <c r="B501" s="56"/>
      <c r="C501" s="56"/>
      <c r="D501" s="56"/>
      <c r="E501" s="90"/>
      <c r="F501" s="84"/>
    </row>
    <row r="502" ht="12.75" customHeight="1">
      <c r="A502" s="56"/>
      <c r="B502" s="56"/>
      <c r="C502" s="56"/>
      <c r="D502" s="56"/>
      <c r="E502" s="90"/>
      <c r="F502" s="84"/>
    </row>
    <row r="503" ht="12.75" customHeight="1">
      <c r="A503" s="56"/>
      <c r="B503" s="56"/>
      <c r="C503" s="56"/>
      <c r="D503" s="56"/>
      <c r="E503" s="90"/>
      <c r="F503" s="84"/>
    </row>
    <row r="504" ht="12.75" customHeight="1">
      <c r="A504" s="56"/>
      <c r="B504" s="56"/>
      <c r="C504" s="56"/>
      <c r="D504" s="56"/>
      <c r="E504" s="90"/>
      <c r="F504" s="84"/>
    </row>
    <row r="505" ht="12.75" customHeight="1">
      <c r="A505" s="56"/>
      <c r="B505" s="56"/>
      <c r="C505" s="56"/>
      <c r="D505" s="56"/>
      <c r="E505" s="90"/>
      <c r="F505" s="84"/>
    </row>
    <row r="506" ht="12.75" customHeight="1">
      <c r="A506" s="56"/>
      <c r="B506" s="56"/>
      <c r="C506" s="56"/>
      <c r="D506" s="56"/>
      <c r="E506" s="90"/>
      <c r="F506" s="84"/>
    </row>
    <row r="507" ht="12.75" customHeight="1">
      <c r="A507" s="56"/>
      <c r="B507" s="56"/>
      <c r="C507" s="56"/>
      <c r="D507" s="56"/>
      <c r="E507" s="90"/>
      <c r="F507" s="84"/>
    </row>
    <row r="508" ht="12.75" customHeight="1">
      <c r="A508" s="56"/>
      <c r="B508" s="56"/>
      <c r="C508" s="56"/>
      <c r="D508" s="56"/>
      <c r="E508" s="90"/>
      <c r="F508" s="84"/>
    </row>
    <row r="509" ht="12.75" customHeight="1">
      <c r="A509" s="56"/>
      <c r="B509" s="56"/>
      <c r="C509" s="56"/>
      <c r="D509" s="56"/>
      <c r="E509" s="90"/>
      <c r="F509" s="84"/>
    </row>
    <row r="510" ht="12.75" customHeight="1">
      <c r="A510" s="56"/>
      <c r="B510" s="56"/>
      <c r="C510" s="56"/>
      <c r="D510" s="56"/>
      <c r="E510" s="90"/>
      <c r="F510" s="84"/>
    </row>
    <row r="511" ht="12.75" customHeight="1">
      <c r="A511" s="56"/>
      <c r="B511" s="56"/>
      <c r="C511" s="56"/>
      <c r="D511" s="56"/>
      <c r="E511" s="90"/>
      <c r="F511" s="84"/>
    </row>
    <row r="512" ht="12.75" customHeight="1">
      <c r="A512" s="56"/>
      <c r="B512" s="56"/>
      <c r="C512" s="56"/>
      <c r="D512" s="56"/>
      <c r="E512" s="90"/>
      <c r="F512" s="84"/>
    </row>
    <row r="513" ht="12.75" customHeight="1">
      <c r="A513" s="56"/>
      <c r="B513" s="56"/>
      <c r="C513" s="56"/>
      <c r="D513" s="56"/>
      <c r="E513" s="90"/>
      <c r="F513" s="84"/>
    </row>
    <row r="514" ht="12.75" customHeight="1">
      <c r="A514" s="56"/>
      <c r="B514" s="56"/>
      <c r="C514" s="56"/>
      <c r="D514" s="56"/>
      <c r="E514" s="90"/>
      <c r="F514" s="84"/>
    </row>
    <row r="515" ht="12.75" customHeight="1">
      <c r="A515" s="56"/>
      <c r="B515" s="56"/>
      <c r="C515" s="56"/>
      <c r="D515" s="56"/>
      <c r="E515" s="90"/>
      <c r="F515" s="84"/>
    </row>
    <row r="516" ht="12.75" customHeight="1">
      <c r="A516" s="56"/>
      <c r="B516" s="56"/>
      <c r="C516" s="56"/>
      <c r="D516" s="56"/>
      <c r="E516" s="90"/>
      <c r="F516" s="84"/>
    </row>
    <row r="517" ht="12.75" customHeight="1">
      <c r="A517" s="56"/>
      <c r="B517" s="56"/>
      <c r="C517" s="56"/>
      <c r="D517" s="56"/>
      <c r="E517" s="90"/>
      <c r="F517" s="84"/>
    </row>
    <row r="518" ht="12.75" customHeight="1">
      <c r="A518" s="56"/>
      <c r="B518" s="56"/>
      <c r="C518" s="56"/>
      <c r="D518" s="56"/>
      <c r="E518" s="90"/>
      <c r="F518" s="84"/>
    </row>
    <row r="519" ht="12.75" customHeight="1">
      <c r="A519" s="56"/>
      <c r="B519" s="56"/>
      <c r="C519" s="56"/>
      <c r="D519" s="56"/>
      <c r="E519" s="90"/>
      <c r="F519" s="84"/>
    </row>
    <row r="520" ht="12.75" customHeight="1">
      <c r="A520" s="56"/>
      <c r="B520" s="56"/>
      <c r="C520" s="56"/>
      <c r="D520" s="56"/>
      <c r="E520" s="90"/>
      <c r="F520" s="84"/>
    </row>
    <row r="521" ht="12.75" customHeight="1">
      <c r="A521" s="56"/>
      <c r="B521" s="56"/>
      <c r="C521" s="56"/>
      <c r="D521" s="56"/>
      <c r="E521" s="90"/>
      <c r="F521" s="84"/>
    </row>
    <row r="522" ht="12.75" customHeight="1">
      <c r="A522" s="56"/>
      <c r="B522" s="56"/>
      <c r="C522" s="56"/>
      <c r="D522" s="56"/>
      <c r="E522" s="90"/>
      <c r="F522" s="84"/>
    </row>
    <row r="523" ht="12.75" customHeight="1">
      <c r="A523" s="56"/>
      <c r="B523" s="56"/>
      <c r="C523" s="56"/>
      <c r="D523" s="56"/>
      <c r="E523" s="90"/>
      <c r="F523" s="84"/>
    </row>
    <row r="524" ht="12.75" customHeight="1">
      <c r="A524" s="56"/>
      <c r="B524" s="56"/>
      <c r="C524" s="56"/>
      <c r="D524" s="56"/>
      <c r="E524" s="90"/>
      <c r="F524" s="84"/>
    </row>
    <row r="525" ht="12.75" customHeight="1">
      <c r="A525" s="56"/>
      <c r="B525" s="56"/>
      <c r="C525" s="56"/>
      <c r="D525" s="56"/>
      <c r="E525" s="90"/>
      <c r="F525" s="84"/>
    </row>
    <row r="526" ht="12.75" customHeight="1">
      <c r="A526" s="56"/>
      <c r="B526" s="56"/>
      <c r="C526" s="56"/>
      <c r="D526" s="56"/>
      <c r="E526" s="90"/>
      <c r="F526" s="84"/>
    </row>
    <row r="527" ht="12.75" customHeight="1">
      <c r="A527" s="56"/>
      <c r="B527" s="56"/>
      <c r="C527" s="56"/>
      <c r="D527" s="56"/>
      <c r="E527" s="90"/>
      <c r="F527" s="84"/>
    </row>
    <row r="528" ht="12.75" customHeight="1">
      <c r="A528" s="56"/>
      <c r="B528" s="56"/>
      <c r="C528" s="56"/>
      <c r="D528" s="56"/>
      <c r="E528" s="90"/>
      <c r="F528" s="84"/>
    </row>
    <row r="529" ht="12.75" customHeight="1">
      <c r="A529" s="56"/>
      <c r="B529" s="56"/>
      <c r="C529" s="56"/>
      <c r="D529" s="56"/>
      <c r="E529" s="90"/>
      <c r="F529" s="84"/>
    </row>
    <row r="530" ht="12.75" customHeight="1">
      <c r="A530" s="56"/>
      <c r="B530" s="56"/>
      <c r="C530" s="56"/>
      <c r="D530" s="56"/>
      <c r="E530" s="90"/>
      <c r="F530" s="8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0"/>
    <col customWidth="1" min="2" max="2" width="24.5"/>
    <col customWidth="1" min="3" max="3" width="10.25"/>
    <col customWidth="1" min="4" max="4" width="16.0"/>
    <col customWidth="1" min="5" max="5" width="10.38"/>
    <col customWidth="1" min="6" max="6" width="20.0"/>
  </cols>
  <sheetData>
    <row r="1" ht="12.75" customHeight="1">
      <c r="A1" s="31" t="s">
        <v>0</v>
      </c>
      <c r="B1" s="32" t="s">
        <v>1</v>
      </c>
      <c r="C1" s="33" t="s">
        <v>2</v>
      </c>
      <c r="D1" s="34">
        <v>46023.0</v>
      </c>
      <c r="E1" s="35" t="s">
        <v>3</v>
      </c>
      <c r="F1" s="36" t="str">
        <f>HYPERLINK("https://www.eurocontrol.int/prudata/dashboard/metadata/airport-atfm-delay/","Airport ATFM delay")</f>
        <v>Airport ATFM delay</v>
      </c>
    </row>
    <row r="2" ht="12.75" customHeight="1">
      <c r="A2" s="38" t="s">
        <v>4</v>
      </c>
      <c r="B2" s="39">
        <f>APT_ATFM_SES_YY!B2</f>
        <v>46070</v>
      </c>
      <c r="C2" s="9" t="s">
        <v>5</v>
      </c>
      <c r="D2" s="10">
        <f>APT_ATFM_SES_YY!D2</f>
        <v>46053</v>
      </c>
      <c r="E2" s="40" t="s">
        <v>6</v>
      </c>
      <c r="F2" s="41" t="s">
        <v>7</v>
      </c>
    </row>
    <row r="3" ht="12.75" customHeight="1">
      <c r="A3" s="80"/>
      <c r="B3" s="80"/>
      <c r="C3" s="80"/>
      <c r="D3" s="80"/>
      <c r="E3" s="91" t="s">
        <v>8</v>
      </c>
      <c r="F3" s="91" t="s">
        <v>149</v>
      </c>
    </row>
    <row r="4" ht="12.75" customHeight="1">
      <c r="A4" s="92" t="str">
        <f>APT_ATFM_SES_YY!A4</f>
        <v>Period: JAN</v>
      </c>
      <c r="B4" s="93"/>
      <c r="C4" s="93"/>
      <c r="D4" s="93"/>
      <c r="E4" s="93"/>
      <c r="F4" s="93"/>
    </row>
    <row r="5" ht="12.75" customHeight="1">
      <c r="A5" s="86" t="s">
        <v>124</v>
      </c>
      <c r="B5" s="86" t="s">
        <v>150</v>
      </c>
      <c r="C5" s="86" t="s">
        <v>151</v>
      </c>
      <c r="D5" s="86" t="s">
        <v>127</v>
      </c>
      <c r="E5" s="86" t="s">
        <v>152</v>
      </c>
      <c r="F5" s="86" t="s">
        <v>153</v>
      </c>
    </row>
    <row r="6" ht="12.75" customHeight="1">
      <c r="A6" s="94" t="s">
        <v>129</v>
      </c>
      <c r="B6" s="95" t="s">
        <v>154</v>
      </c>
      <c r="C6" s="95" t="s">
        <v>155</v>
      </c>
      <c r="D6" s="88">
        <f t="shared" ref="D6:D153" si="1">F6/E6</f>
        <v>0.2010769449</v>
      </c>
      <c r="E6" s="96">
        <v>7057.0</v>
      </c>
      <c r="F6" s="96">
        <v>1419.0</v>
      </c>
    </row>
    <row r="7" ht="12.75" customHeight="1">
      <c r="A7" s="97" t="s">
        <v>134</v>
      </c>
      <c r="B7" s="95" t="s">
        <v>156</v>
      </c>
      <c r="C7" s="95" t="s">
        <v>157</v>
      </c>
      <c r="D7" s="88">
        <f t="shared" si="1"/>
        <v>0.6279371253</v>
      </c>
      <c r="E7" s="96">
        <v>6171.0</v>
      </c>
      <c r="F7" s="96">
        <v>3875.0</v>
      </c>
    </row>
    <row r="8" ht="12.75" customHeight="1">
      <c r="A8" s="97" t="s">
        <v>134</v>
      </c>
      <c r="B8" s="95" t="s">
        <v>158</v>
      </c>
      <c r="C8" s="95" t="s">
        <v>159</v>
      </c>
      <c r="D8" s="88">
        <f t="shared" si="1"/>
        <v>0</v>
      </c>
      <c r="E8" s="96">
        <v>286.0</v>
      </c>
      <c r="F8" s="96">
        <v>0.0</v>
      </c>
    </row>
    <row r="9" ht="12.75" customHeight="1">
      <c r="A9" s="97" t="s">
        <v>134</v>
      </c>
      <c r="B9" s="95" t="s">
        <v>160</v>
      </c>
      <c r="C9" s="95" t="s">
        <v>161</v>
      </c>
      <c r="D9" s="88">
        <f t="shared" si="1"/>
        <v>0</v>
      </c>
      <c r="E9" s="96">
        <v>72.0</v>
      </c>
      <c r="F9" s="96">
        <v>0.0</v>
      </c>
    </row>
    <row r="10" ht="12.75" customHeight="1">
      <c r="A10" s="97" t="s">
        <v>134</v>
      </c>
      <c r="B10" s="95" t="s">
        <v>162</v>
      </c>
      <c r="C10" s="95" t="s">
        <v>163</v>
      </c>
      <c r="D10" s="88">
        <f t="shared" si="1"/>
        <v>0.8596850595</v>
      </c>
      <c r="E10" s="96">
        <v>15622.0</v>
      </c>
      <c r="F10" s="96">
        <v>13430.0</v>
      </c>
    </row>
    <row r="11" ht="12.75" customHeight="1">
      <c r="A11" s="97" t="s">
        <v>134</v>
      </c>
      <c r="B11" s="95" t="s">
        <v>164</v>
      </c>
      <c r="C11" s="95" t="s">
        <v>165</v>
      </c>
      <c r="D11" s="88">
        <f t="shared" si="1"/>
        <v>0</v>
      </c>
      <c r="E11" s="96">
        <v>493.0</v>
      </c>
      <c r="F11" s="96">
        <v>0.0</v>
      </c>
    </row>
    <row r="12" ht="12.75" customHeight="1">
      <c r="A12" s="97" t="s">
        <v>134</v>
      </c>
      <c r="B12" s="95" t="s">
        <v>166</v>
      </c>
      <c r="C12" s="95" t="s">
        <v>167</v>
      </c>
      <c r="D12" s="88">
        <f t="shared" si="1"/>
        <v>0.163741158</v>
      </c>
      <c r="E12" s="96">
        <v>3817.0</v>
      </c>
      <c r="F12" s="96">
        <v>625.0</v>
      </c>
    </row>
    <row r="13" ht="12.75" customHeight="1">
      <c r="A13" s="97" t="s">
        <v>134</v>
      </c>
      <c r="B13" s="95" t="s">
        <v>168</v>
      </c>
      <c r="C13" s="95" t="s">
        <v>169</v>
      </c>
      <c r="D13" s="88">
        <f t="shared" si="1"/>
        <v>0.2262954796</v>
      </c>
      <c r="E13" s="96">
        <v>3628.0</v>
      </c>
      <c r="F13" s="96">
        <v>821.0</v>
      </c>
    </row>
    <row r="14" ht="12.75" customHeight="1">
      <c r="A14" s="97" t="s">
        <v>134</v>
      </c>
      <c r="B14" s="95" t="s">
        <v>170</v>
      </c>
      <c r="C14" s="95" t="s">
        <v>171</v>
      </c>
      <c r="D14" s="88">
        <f t="shared" si="1"/>
        <v>0.1148170608</v>
      </c>
      <c r="E14" s="96">
        <v>4947.0</v>
      </c>
      <c r="F14" s="96">
        <v>568.0</v>
      </c>
    </row>
    <row r="15" ht="12.75" customHeight="1">
      <c r="A15" s="97" t="s">
        <v>134</v>
      </c>
      <c r="B15" s="95" t="s">
        <v>172</v>
      </c>
      <c r="C15" s="95" t="s">
        <v>173</v>
      </c>
      <c r="D15" s="88">
        <f t="shared" si="1"/>
        <v>0.4441803054</v>
      </c>
      <c r="E15" s="96">
        <v>10937.0</v>
      </c>
      <c r="F15" s="96">
        <v>4858.0</v>
      </c>
    </row>
    <row r="16" ht="12.75" customHeight="1">
      <c r="A16" s="97" t="s">
        <v>134</v>
      </c>
      <c r="B16" s="95" t="s">
        <v>174</v>
      </c>
      <c r="C16" s="95" t="s">
        <v>175</v>
      </c>
      <c r="D16" s="88">
        <f t="shared" si="1"/>
        <v>0</v>
      </c>
      <c r="E16" s="96">
        <v>1350.0</v>
      </c>
      <c r="F16" s="96">
        <v>0.0</v>
      </c>
    </row>
    <row r="17" ht="12.75" customHeight="1">
      <c r="A17" s="97" t="s">
        <v>134</v>
      </c>
      <c r="B17" s="95" t="s">
        <v>176</v>
      </c>
      <c r="C17" s="95" t="s">
        <v>177</v>
      </c>
      <c r="D17" s="88">
        <f t="shared" si="1"/>
        <v>0.627044276</v>
      </c>
      <c r="E17" s="96">
        <v>2507.0</v>
      </c>
      <c r="F17" s="96">
        <v>1572.0</v>
      </c>
    </row>
    <row r="18" ht="12.75" customHeight="1">
      <c r="A18" s="97" t="s">
        <v>134</v>
      </c>
      <c r="B18" s="95" t="s">
        <v>178</v>
      </c>
      <c r="C18" s="95" t="s">
        <v>179</v>
      </c>
      <c r="D18" s="88">
        <f t="shared" si="1"/>
        <v>0</v>
      </c>
      <c r="E18" s="96">
        <v>117.0</v>
      </c>
      <c r="F18" s="96">
        <v>0.0</v>
      </c>
    </row>
    <row r="19" ht="12.75" customHeight="1">
      <c r="A19" s="97" t="s">
        <v>134</v>
      </c>
      <c r="B19" s="95" t="s">
        <v>180</v>
      </c>
      <c r="C19" s="95" t="s">
        <v>181</v>
      </c>
      <c r="D19" s="88">
        <f t="shared" si="1"/>
        <v>0</v>
      </c>
      <c r="E19" s="96">
        <v>2671.0</v>
      </c>
      <c r="F19" s="96">
        <v>0.0</v>
      </c>
    </row>
    <row r="20" ht="12.75" customHeight="1">
      <c r="A20" s="97" t="s">
        <v>134</v>
      </c>
      <c r="B20" s="95" t="s">
        <v>182</v>
      </c>
      <c r="C20" s="95" t="s">
        <v>183</v>
      </c>
      <c r="D20" s="88">
        <f t="shared" si="1"/>
        <v>0</v>
      </c>
      <c r="E20" s="96">
        <v>1505.0</v>
      </c>
      <c r="F20" s="96">
        <v>0.0</v>
      </c>
    </row>
    <row r="21" ht="12.75" customHeight="1">
      <c r="A21" s="97" t="s">
        <v>134</v>
      </c>
      <c r="B21" s="95" t="s">
        <v>184</v>
      </c>
      <c r="C21" s="95" t="s">
        <v>185</v>
      </c>
      <c r="D21" s="88">
        <f t="shared" si="1"/>
        <v>0</v>
      </c>
      <c r="E21" s="96">
        <v>719.0</v>
      </c>
      <c r="F21" s="96">
        <v>0.0</v>
      </c>
    </row>
    <row r="22" ht="12.75" customHeight="1">
      <c r="A22" s="97" t="s">
        <v>132</v>
      </c>
      <c r="B22" s="95" t="s">
        <v>186</v>
      </c>
      <c r="C22" s="95" t="s">
        <v>187</v>
      </c>
      <c r="D22" s="88">
        <f t="shared" si="1"/>
        <v>0.1270498328</v>
      </c>
      <c r="E22" s="96">
        <v>6281.0</v>
      </c>
      <c r="F22" s="96">
        <v>798.0</v>
      </c>
    </row>
    <row r="23" ht="12.75" customHeight="1">
      <c r="A23" s="97" t="s">
        <v>141</v>
      </c>
      <c r="B23" s="95" t="s">
        <v>188</v>
      </c>
      <c r="C23" s="95" t="s">
        <v>189</v>
      </c>
      <c r="D23" s="88">
        <f t="shared" si="1"/>
        <v>8.859005252</v>
      </c>
      <c r="E23" s="96">
        <v>16185.0</v>
      </c>
      <c r="F23" s="96">
        <v>143383.0</v>
      </c>
    </row>
    <row r="24" ht="12.75" customHeight="1">
      <c r="A24" s="97" t="s">
        <v>141</v>
      </c>
      <c r="B24" s="95" t="s">
        <v>190</v>
      </c>
      <c r="C24" s="95" t="s">
        <v>191</v>
      </c>
      <c r="D24" s="88">
        <f t="shared" si="1"/>
        <v>0</v>
      </c>
      <c r="E24" s="96">
        <v>191.0</v>
      </c>
      <c r="F24" s="96">
        <v>0.0</v>
      </c>
    </row>
    <row r="25" ht="12.75" customHeight="1">
      <c r="A25" s="97" t="s">
        <v>141</v>
      </c>
      <c r="B25" s="95" t="s">
        <v>192</v>
      </c>
      <c r="C25" s="95" t="s">
        <v>193</v>
      </c>
      <c r="D25" s="88">
        <f t="shared" si="1"/>
        <v>0.05653710247</v>
      </c>
      <c r="E25" s="96">
        <v>283.0</v>
      </c>
      <c r="F25" s="96">
        <v>16.0</v>
      </c>
    </row>
    <row r="26" ht="12.75" customHeight="1">
      <c r="A26" s="97" t="s">
        <v>141</v>
      </c>
      <c r="B26" s="95" t="s">
        <v>194</v>
      </c>
      <c r="C26" s="95" t="s">
        <v>195</v>
      </c>
      <c r="D26" s="88">
        <f t="shared" si="1"/>
        <v>0</v>
      </c>
      <c r="E26" s="96">
        <v>885.0</v>
      </c>
      <c r="F26" s="96">
        <v>0.0</v>
      </c>
    </row>
    <row r="27" ht="12.75" customHeight="1">
      <c r="A27" s="97" t="s">
        <v>137</v>
      </c>
      <c r="B27" s="95" t="s">
        <v>196</v>
      </c>
      <c r="C27" s="95" t="s">
        <v>197</v>
      </c>
      <c r="D27" s="88">
        <f t="shared" si="1"/>
        <v>0</v>
      </c>
      <c r="E27" s="96">
        <v>841.0</v>
      </c>
      <c r="F27" s="96">
        <v>0.0</v>
      </c>
    </row>
    <row r="28" ht="12.75" customHeight="1">
      <c r="A28" s="97" t="s">
        <v>137</v>
      </c>
      <c r="B28" s="95" t="s">
        <v>198</v>
      </c>
      <c r="C28" s="95" t="s">
        <v>199</v>
      </c>
      <c r="D28" s="88">
        <f t="shared" si="1"/>
        <v>0.4783772212</v>
      </c>
      <c r="E28" s="96">
        <v>9342.0</v>
      </c>
      <c r="F28" s="96">
        <v>4469.0</v>
      </c>
    </row>
    <row r="29" ht="12.75" customHeight="1">
      <c r="A29" s="97" t="s">
        <v>137</v>
      </c>
      <c r="B29" s="95" t="s">
        <v>200</v>
      </c>
      <c r="C29" s="95" t="s">
        <v>201</v>
      </c>
      <c r="D29" s="88">
        <f t="shared" si="1"/>
        <v>0</v>
      </c>
      <c r="E29" s="96">
        <v>796.0</v>
      </c>
      <c r="F29" s="96">
        <v>0.0</v>
      </c>
    </row>
    <row r="30" ht="12.75" customHeight="1">
      <c r="A30" s="97" t="s">
        <v>131</v>
      </c>
      <c r="B30" s="95" t="s">
        <v>202</v>
      </c>
      <c r="C30" s="95" t="s">
        <v>203</v>
      </c>
      <c r="D30" s="88">
        <f t="shared" si="1"/>
        <v>0.9989351507</v>
      </c>
      <c r="E30" s="96">
        <v>9391.0</v>
      </c>
      <c r="F30" s="96">
        <v>9381.0</v>
      </c>
    </row>
    <row r="31" ht="12.75" customHeight="1">
      <c r="A31" s="97" t="s">
        <v>139</v>
      </c>
      <c r="B31" s="95" t="s">
        <v>204</v>
      </c>
      <c r="C31" s="95" t="s">
        <v>205</v>
      </c>
      <c r="D31" s="88">
        <f t="shared" si="1"/>
        <v>0.6162988115</v>
      </c>
      <c r="E31" s="96">
        <v>2356.0</v>
      </c>
      <c r="F31" s="96">
        <v>1452.0</v>
      </c>
    </row>
    <row r="32" ht="12.75" customHeight="1">
      <c r="A32" s="97" t="s">
        <v>142</v>
      </c>
      <c r="B32" s="95" t="s">
        <v>206</v>
      </c>
      <c r="C32" s="95" t="s">
        <v>207</v>
      </c>
      <c r="D32" s="88">
        <f t="shared" si="1"/>
        <v>0</v>
      </c>
      <c r="E32" s="96">
        <v>3273.0</v>
      </c>
      <c r="F32" s="96">
        <v>0.0</v>
      </c>
    </row>
    <row r="33" ht="12.75" customHeight="1">
      <c r="A33" s="97" t="s">
        <v>142</v>
      </c>
      <c r="B33" s="95" t="s">
        <v>208</v>
      </c>
      <c r="C33" s="95" t="s">
        <v>209</v>
      </c>
      <c r="D33" s="88">
        <f t="shared" si="1"/>
        <v>0.8631552098</v>
      </c>
      <c r="E33" s="96">
        <v>7841.0</v>
      </c>
      <c r="F33" s="96">
        <v>6768.0</v>
      </c>
    </row>
    <row r="34" ht="12.75" customHeight="1">
      <c r="A34" s="97" t="s">
        <v>142</v>
      </c>
      <c r="B34" s="95" t="s">
        <v>210</v>
      </c>
      <c r="C34" s="95" t="s">
        <v>211</v>
      </c>
      <c r="D34" s="88">
        <f t="shared" si="1"/>
        <v>0</v>
      </c>
      <c r="E34" s="96">
        <v>1933.0</v>
      </c>
      <c r="F34" s="96">
        <v>0.0</v>
      </c>
    </row>
    <row r="35" ht="12.75" customHeight="1">
      <c r="A35" s="97" t="s">
        <v>142</v>
      </c>
      <c r="B35" s="95" t="s">
        <v>212</v>
      </c>
      <c r="C35" s="95" t="s">
        <v>213</v>
      </c>
      <c r="D35" s="88">
        <f t="shared" si="1"/>
        <v>0</v>
      </c>
      <c r="E35" s="96">
        <v>2192.0</v>
      </c>
      <c r="F35" s="96">
        <v>0.0</v>
      </c>
    </row>
    <row r="36" ht="12.75" customHeight="1">
      <c r="A36" s="97" t="s">
        <v>143</v>
      </c>
      <c r="B36" s="95" t="s">
        <v>214</v>
      </c>
      <c r="C36" s="95" t="s">
        <v>215</v>
      </c>
      <c r="D36" s="88">
        <f t="shared" si="1"/>
        <v>0</v>
      </c>
      <c r="E36" s="96">
        <v>155.0</v>
      </c>
      <c r="F36" s="96">
        <v>0.0</v>
      </c>
    </row>
    <row r="37" ht="12.75" customHeight="1">
      <c r="A37" s="97" t="s">
        <v>143</v>
      </c>
      <c r="B37" s="95" t="s">
        <v>216</v>
      </c>
      <c r="C37" s="95" t="s">
        <v>217</v>
      </c>
      <c r="D37" s="88">
        <f t="shared" si="1"/>
        <v>0</v>
      </c>
      <c r="E37" s="96">
        <v>1862.0</v>
      </c>
      <c r="F37" s="96">
        <v>0.0</v>
      </c>
    </row>
    <row r="38" ht="12.75" customHeight="1">
      <c r="A38" s="97" t="s">
        <v>143</v>
      </c>
      <c r="B38" s="95" t="s">
        <v>218</v>
      </c>
      <c r="C38" s="95" t="s">
        <v>219</v>
      </c>
      <c r="D38" s="88">
        <f t="shared" si="1"/>
        <v>0.3183520599</v>
      </c>
      <c r="E38" s="96">
        <v>3204.0</v>
      </c>
      <c r="F38" s="96">
        <v>1020.0</v>
      </c>
    </row>
    <row r="39" ht="12.75" customHeight="1">
      <c r="A39" s="97" t="s">
        <v>143</v>
      </c>
      <c r="B39" s="95" t="s">
        <v>220</v>
      </c>
      <c r="C39" s="95" t="s">
        <v>221</v>
      </c>
      <c r="D39" s="88">
        <f t="shared" si="1"/>
        <v>0</v>
      </c>
      <c r="E39" s="96">
        <v>1443.0</v>
      </c>
      <c r="F39" s="96">
        <v>0.0</v>
      </c>
    </row>
    <row r="40" ht="12.75" customHeight="1">
      <c r="A40" s="97" t="s">
        <v>143</v>
      </c>
      <c r="B40" s="95" t="s">
        <v>222</v>
      </c>
      <c r="C40" s="95" t="s">
        <v>223</v>
      </c>
      <c r="D40" s="88">
        <f t="shared" si="1"/>
        <v>0</v>
      </c>
      <c r="E40" s="96">
        <v>132.0</v>
      </c>
      <c r="F40" s="96">
        <v>0.0</v>
      </c>
    </row>
    <row r="41" ht="12.75" customHeight="1">
      <c r="A41" s="97" t="s">
        <v>143</v>
      </c>
      <c r="B41" s="95" t="s">
        <v>224</v>
      </c>
      <c r="C41" s="95" t="s">
        <v>225</v>
      </c>
      <c r="D41" s="88">
        <f t="shared" si="1"/>
        <v>0</v>
      </c>
      <c r="E41" s="96">
        <v>184.0</v>
      </c>
      <c r="F41" s="96">
        <v>0.0</v>
      </c>
    </row>
    <row r="42" ht="12.75" customHeight="1">
      <c r="A42" s="97" t="s">
        <v>143</v>
      </c>
      <c r="B42" s="95" t="s">
        <v>226</v>
      </c>
      <c r="C42" s="95" t="s">
        <v>227</v>
      </c>
      <c r="D42" s="88">
        <f t="shared" si="1"/>
        <v>0</v>
      </c>
      <c r="E42" s="96">
        <v>718.0</v>
      </c>
      <c r="F42" s="96">
        <v>0.0</v>
      </c>
    </row>
    <row r="43" ht="12.75" customHeight="1">
      <c r="A43" s="97" t="s">
        <v>143</v>
      </c>
      <c r="B43" s="95" t="s">
        <v>228</v>
      </c>
      <c r="C43" s="95" t="s">
        <v>229</v>
      </c>
      <c r="D43" s="88">
        <f t="shared" si="1"/>
        <v>0.001004016064</v>
      </c>
      <c r="E43" s="96">
        <v>996.0</v>
      </c>
      <c r="F43" s="96">
        <v>1.0</v>
      </c>
    </row>
    <row r="44" ht="12.75" customHeight="1">
      <c r="A44" s="97" t="s">
        <v>143</v>
      </c>
      <c r="B44" s="95" t="s">
        <v>230</v>
      </c>
      <c r="C44" s="95" t="s">
        <v>231</v>
      </c>
      <c r="D44" s="88">
        <f t="shared" si="1"/>
        <v>0</v>
      </c>
      <c r="E44" s="96">
        <v>15.0</v>
      </c>
      <c r="F44" s="96">
        <v>0.0</v>
      </c>
    </row>
    <row r="45" ht="12.75" customHeight="1">
      <c r="A45" s="97" t="s">
        <v>143</v>
      </c>
      <c r="B45" s="95" t="s">
        <v>232</v>
      </c>
      <c r="C45" s="95" t="s">
        <v>233</v>
      </c>
      <c r="D45" s="88">
        <f t="shared" si="1"/>
        <v>0</v>
      </c>
      <c r="E45" s="96">
        <v>518.0</v>
      </c>
      <c r="F45" s="96">
        <v>0.0</v>
      </c>
    </row>
    <row r="46" ht="12.75" customHeight="1">
      <c r="A46" s="97" t="s">
        <v>143</v>
      </c>
      <c r="B46" s="95" t="s">
        <v>234</v>
      </c>
      <c r="C46" s="95" t="s">
        <v>235</v>
      </c>
      <c r="D46" s="88">
        <f t="shared" si="1"/>
        <v>0</v>
      </c>
      <c r="E46" s="96">
        <v>181.0</v>
      </c>
      <c r="F46" s="96">
        <v>0.0</v>
      </c>
    </row>
    <row r="47" ht="12.75" customHeight="1">
      <c r="A47" s="97" t="s">
        <v>143</v>
      </c>
      <c r="B47" s="95" t="s">
        <v>236</v>
      </c>
      <c r="C47" s="95" t="s">
        <v>237</v>
      </c>
      <c r="D47" s="88">
        <f t="shared" si="1"/>
        <v>0</v>
      </c>
      <c r="E47" s="96">
        <v>58.0</v>
      </c>
      <c r="F47" s="96">
        <v>0.0</v>
      </c>
    </row>
    <row r="48" ht="12.75" customHeight="1">
      <c r="A48" s="97" t="s">
        <v>143</v>
      </c>
      <c r="B48" s="95" t="s">
        <v>238</v>
      </c>
      <c r="C48" s="95" t="s">
        <v>239</v>
      </c>
      <c r="D48" s="88">
        <f t="shared" si="1"/>
        <v>0.690668053</v>
      </c>
      <c r="E48" s="96">
        <v>7694.0</v>
      </c>
      <c r="F48" s="96">
        <v>5314.0</v>
      </c>
    </row>
    <row r="49" ht="12.75" customHeight="1">
      <c r="A49" s="97" t="s">
        <v>143</v>
      </c>
      <c r="B49" s="95" t="s">
        <v>240</v>
      </c>
      <c r="C49" s="95" t="s">
        <v>241</v>
      </c>
      <c r="D49" s="88">
        <f t="shared" si="1"/>
        <v>0.1651785714</v>
      </c>
      <c r="E49" s="96">
        <v>1344.0</v>
      </c>
      <c r="F49" s="96">
        <v>222.0</v>
      </c>
    </row>
    <row r="50" ht="12.75" customHeight="1">
      <c r="A50" s="97" t="s">
        <v>143</v>
      </c>
      <c r="B50" s="95" t="s">
        <v>242</v>
      </c>
      <c r="C50" s="95" t="s">
        <v>243</v>
      </c>
      <c r="D50" s="88">
        <f t="shared" si="1"/>
        <v>0</v>
      </c>
      <c r="E50" s="96">
        <v>31.0</v>
      </c>
      <c r="F50" s="96">
        <v>0.0</v>
      </c>
    </row>
    <row r="51" ht="12.75" customHeight="1">
      <c r="A51" s="97" t="s">
        <v>147</v>
      </c>
      <c r="B51" s="95" t="s">
        <v>244</v>
      </c>
      <c r="C51" s="95" t="s">
        <v>245</v>
      </c>
      <c r="D51" s="88">
        <f t="shared" si="1"/>
        <v>1.127848646</v>
      </c>
      <c r="E51" s="96">
        <v>6977.0</v>
      </c>
      <c r="F51" s="96">
        <v>7869.0</v>
      </c>
    </row>
    <row r="52" ht="12.75" customHeight="1">
      <c r="A52" s="97" t="s">
        <v>146</v>
      </c>
      <c r="B52" s="95" t="s">
        <v>246</v>
      </c>
      <c r="C52" s="95" t="s">
        <v>247</v>
      </c>
      <c r="D52" s="88">
        <f t="shared" si="1"/>
        <v>0.9664264658</v>
      </c>
      <c r="E52" s="96">
        <v>6106.0</v>
      </c>
      <c r="F52" s="96">
        <v>5901.0</v>
      </c>
    </row>
    <row r="53" ht="12.75" customHeight="1">
      <c r="A53" s="97" t="s">
        <v>146</v>
      </c>
      <c r="B53" s="95" t="s">
        <v>248</v>
      </c>
      <c r="C53" s="95" t="s">
        <v>249</v>
      </c>
      <c r="D53" s="88">
        <f t="shared" si="1"/>
        <v>0.09013333333</v>
      </c>
      <c r="E53" s="96">
        <v>3750.0</v>
      </c>
      <c r="F53" s="96">
        <v>338.0</v>
      </c>
    </row>
    <row r="54" ht="12.75" customHeight="1">
      <c r="A54" s="97" t="s">
        <v>146</v>
      </c>
      <c r="B54" s="95" t="s">
        <v>250</v>
      </c>
      <c r="C54" s="95" t="s">
        <v>251</v>
      </c>
      <c r="D54" s="88">
        <f t="shared" si="1"/>
        <v>0.4407401369</v>
      </c>
      <c r="E54" s="96">
        <v>12268.0</v>
      </c>
      <c r="F54" s="96">
        <v>5407.0</v>
      </c>
    </row>
    <row r="55" ht="12.75" customHeight="1">
      <c r="A55" s="97" t="s">
        <v>146</v>
      </c>
      <c r="B55" s="95" t="s">
        <v>252</v>
      </c>
      <c r="C55" s="95" t="s">
        <v>253</v>
      </c>
      <c r="D55" s="88">
        <f t="shared" si="1"/>
        <v>0</v>
      </c>
      <c r="E55" s="96">
        <v>1249.0</v>
      </c>
      <c r="F55" s="96">
        <v>0.0</v>
      </c>
    </row>
    <row r="56" ht="12.75" customHeight="1">
      <c r="A56" s="97" t="s">
        <v>146</v>
      </c>
      <c r="B56" s="95" t="s">
        <v>254</v>
      </c>
      <c r="C56" s="95" t="s">
        <v>255</v>
      </c>
      <c r="D56" s="88">
        <f t="shared" si="1"/>
        <v>0.6506024096</v>
      </c>
      <c r="E56" s="96">
        <v>17347.0</v>
      </c>
      <c r="F56" s="96">
        <v>11286.0</v>
      </c>
    </row>
    <row r="57" ht="12.75" customHeight="1">
      <c r="A57" s="97" t="s">
        <v>146</v>
      </c>
      <c r="B57" s="95" t="s">
        <v>256</v>
      </c>
      <c r="C57" s="95" t="s">
        <v>257</v>
      </c>
      <c r="D57" s="88">
        <f t="shared" si="1"/>
        <v>0.3584291188</v>
      </c>
      <c r="E57" s="96">
        <v>5220.0</v>
      </c>
      <c r="F57" s="96">
        <v>1871.0</v>
      </c>
    </row>
    <row r="58" ht="12.75" customHeight="1">
      <c r="A58" s="97" t="s">
        <v>146</v>
      </c>
      <c r="B58" s="95" t="s">
        <v>258</v>
      </c>
      <c r="C58" s="95" t="s">
        <v>259</v>
      </c>
      <c r="D58" s="88">
        <f t="shared" si="1"/>
        <v>0.1405689696</v>
      </c>
      <c r="E58" s="96">
        <v>4183.0</v>
      </c>
      <c r="F58" s="96">
        <v>588.0</v>
      </c>
    </row>
    <row r="59" ht="12.75" customHeight="1">
      <c r="A59" s="97" t="s">
        <v>133</v>
      </c>
      <c r="B59" s="95" t="s">
        <v>260</v>
      </c>
      <c r="C59" s="95" t="s">
        <v>261</v>
      </c>
      <c r="D59" s="88">
        <f t="shared" si="1"/>
        <v>0</v>
      </c>
      <c r="E59" s="96">
        <v>55.0</v>
      </c>
      <c r="F59" s="96">
        <v>0.0</v>
      </c>
    </row>
    <row r="60" ht="12.75" customHeight="1">
      <c r="A60" s="97" t="s">
        <v>133</v>
      </c>
      <c r="B60" s="95" t="s">
        <v>262</v>
      </c>
      <c r="C60" s="95" t="s">
        <v>263</v>
      </c>
      <c r="D60" s="88">
        <f t="shared" si="1"/>
        <v>0.449182243</v>
      </c>
      <c r="E60" s="96">
        <v>1712.0</v>
      </c>
      <c r="F60" s="96">
        <v>769.0</v>
      </c>
    </row>
    <row r="61" ht="12.75" customHeight="1">
      <c r="A61" s="97" t="s">
        <v>133</v>
      </c>
      <c r="B61" s="95" t="s">
        <v>264</v>
      </c>
      <c r="C61" s="95" t="s">
        <v>265</v>
      </c>
      <c r="D61" s="88">
        <f t="shared" si="1"/>
        <v>0</v>
      </c>
      <c r="E61" s="96">
        <v>9.0</v>
      </c>
      <c r="F61" s="96">
        <v>0.0</v>
      </c>
    </row>
    <row r="62" ht="12.75" customHeight="1">
      <c r="A62" s="97" t="s">
        <v>133</v>
      </c>
      <c r="B62" s="95" t="s">
        <v>266</v>
      </c>
      <c r="C62" s="95" t="s">
        <v>267</v>
      </c>
      <c r="D62" s="88">
        <f t="shared" si="1"/>
        <v>0</v>
      </c>
      <c r="E62" s="96">
        <v>111.0</v>
      </c>
      <c r="F62" s="96">
        <v>0.0</v>
      </c>
    </row>
    <row r="63" ht="12.75" customHeight="1">
      <c r="A63" s="97" t="s">
        <v>133</v>
      </c>
      <c r="B63" s="95" t="s">
        <v>268</v>
      </c>
      <c r="C63" s="95" t="s">
        <v>269</v>
      </c>
      <c r="D63" s="88">
        <f t="shared" si="1"/>
        <v>0</v>
      </c>
      <c r="E63" s="96">
        <v>126.0</v>
      </c>
      <c r="F63" s="96">
        <v>0.0</v>
      </c>
    </row>
    <row r="64" ht="12.75" customHeight="1">
      <c r="A64" s="97" t="s">
        <v>133</v>
      </c>
      <c r="B64" s="95" t="s">
        <v>270</v>
      </c>
      <c r="C64" s="95" t="s">
        <v>271</v>
      </c>
      <c r="D64" s="88">
        <f t="shared" si="1"/>
        <v>0</v>
      </c>
      <c r="E64" s="96">
        <v>197.0</v>
      </c>
      <c r="F64" s="96">
        <v>0.0</v>
      </c>
    </row>
    <row r="65" ht="12.75" customHeight="1">
      <c r="A65" s="97" t="s">
        <v>133</v>
      </c>
      <c r="B65" s="95" t="s">
        <v>272</v>
      </c>
      <c r="C65" s="97" t="s">
        <v>273</v>
      </c>
      <c r="D65" s="88">
        <f t="shared" si="1"/>
        <v>0.2319173364</v>
      </c>
      <c r="E65" s="96">
        <v>2613.0</v>
      </c>
      <c r="F65" s="96">
        <v>606.0</v>
      </c>
    </row>
    <row r="66" ht="12.75" customHeight="1">
      <c r="A66" s="97" t="s">
        <v>133</v>
      </c>
      <c r="B66" s="95" t="s">
        <v>274</v>
      </c>
      <c r="C66" s="95" t="s">
        <v>275</v>
      </c>
      <c r="D66" s="88">
        <f t="shared" si="1"/>
        <v>0</v>
      </c>
      <c r="E66" s="96">
        <v>321.0</v>
      </c>
      <c r="F66" s="96">
        <v>0.0</v>
      </c>
    </row>
    <row r="67" ht="12.75" customHeight="1">
      <c r="A67" s="97" t="s">
        <v>133</v>
      </c>
      <c r="B67" s="95" t="s">
        <v>276</v>
      </c>
      <c r="C67" s="95" t="s">
        <v>277</v>
      </c>
      <c r="D67" s="88">
        <f t="shared" si="1"/>
        <v>0.1329787234</v>
      </c>
      <c r="E67" s="96">
        <v>188.0</v>
      </c>
      <c r="F67" s="96">
        <v>25.0</v>
      </c>
    </row>
    <row r="68" ht="12.75" customHeight="1">
      <c r="A68" s="97" t="s">
        <v>133</v>
      </c>
      <c r="B68" s="95" t="s">
        <v>278</v>
      </c>
      <c r="C68" s="95" t="s">
        <v>279</v>
      </c>
      <c r="D68" s="88">
        <f t="shared" si="1"/>
        <v>0</v>
      </c>
      <c r="E68" s="96">
        <v>303.0</v>
      </c>
      <c r="F68" s="96">
        <v>0.0</v>
      </c>
    </row>
    <row r="69" ht="12.75" customHeight="1">
      <c r="A69" s="97" t="s">
        <v>133</v>
      </c>
      <c r="B69" s="95" t="s">
        <v>280</v>
      </c>
      <c r="C69" s="95" t="s">
        <v>281</v>
      </c>
      <c r="D69" s="88">
        <f t="shared" si="1"/>
        <v>0</v>
      </c>
      <c r="E69" s="96">
        <v>110.0</v>
      </c>
      <c r="F69" s="96">
        <v>0.0</v>
      </c>
    </row>
    <row r="70" ht="12.75" customHeight="1">
      <c r="A70" s="97" t="s">
        <v>133</v>
      </c>
      <c r="B70" s="95" t="s">
        <v>282</v>
      </c>
      <c r="C70" s="95" t="s">
        <v>283</v>
      </c>
      <c r="D70" s="88">
        <f t="shared" si="1"/>
        <v>0</v>
      </c>
      <c r="E70" s="96">
        <v>95.0</v>
      </c>
      <c r="F70" s="96">
        <v>0.0</v>
      </c>
    </row>
    <row r="71" ht="12.75" customHeight="1">
      <c r="A71" s="97" t="s">
        <v>133</v>
      </c>
      <c r="B71" s="95" t="s">
        <v>284</v>
      </c>
      <c r="C71" s="95" t="s">
        <v>285</v>
      </c>
      <c r="D71" s="88">
        <f t="shared" si="1"/>
        <v>0</v>
      </c>
      <c r="E71" s="96">
        <v>66.0</v>
      </c>
      <c r="F71" s="96">
        <v>0.0</v>
      </c>
    </row>
    <row r="72" ht="12.75" customHeight="1">
      <c r="A72" s="97" t="s">
        <v>133</v>
      </c>
      <c r="B72" s="95" t="s">
        <v>286</v>
      </c>
      <c r="C72" s="95" t="s">
        <v>287</v>
      </c>
      <c r="D72" s="88">
        <f t="shared" si="1"/>
        <v>0</v>
      </c>
      <c r="E72" s="96">
        <v>479.0</v>
      </c>
      <c r="F72" s="96">
        <v>0.0</v>
      </c>
    </row>
    <row r="73" ht="12.75" customHeight="1">
      <c r="A73" s="97" t="s">
        <v>133</v>
      </c>
      <c r="B73" s="95" t="s">
        <v>288</v>
      </c>
      <c r="C73" s="95" t="s">
        <v>289</v>
      </c>
      <c r="D73" s="88">
        <f t="shared" si="1"/>
        <v>0</v>
      </c>
      <c r="E73" s="96">
        <v>153.0</v>
      </c>
      <c r="F73" s="96">
        <v>0.0</v>
      </c>
    </row>
    <row r="74" ht="12.75" customHeight="1">
      <c r="A74" s="97" t="s">
        <v>133</v>
      </c>
      <c r="B74" s="95" t="s">
        <v>290</v>
      </c>
      <c r="C74" s="95" t="s">
        <v>291</v>
      </c>
      <c r="D74" s="88">
        <f t="shared" si="1"/>
        <v>0</v>
      </c>
      <c r="E74" s="96">
        <v>172.0</v>
      </c>
      <c r="F74" s="96">
        <v>0.0</v>
      </c>
    </row>
    <row r="75" ht="12.75" customHeight="1">
      <c r="A75" s="97" t="s">
        <v>133</v>
      </c>
      <c r="B75" s="95" t="s">
        <v>292</v>
      </c>
      <c r="C75" s="95" t="s">
        <v>293</v>
      </c>
      <c r="D75" s="88">
        <f t="shared" si="1"/>
        <v>0</v>
      </c>
      <c r="E75" s="96">
        <v>439.0</v>
      </c>
      <c r="F75" s="96">
        <v>0.0</v>
      </c>
    </row>
    <row r="76" ht="12.75" customHeight="1">
      <c r="A76" s="97" t="s">
        <v>133</v>
      </c>
      <c r="B76" s="95" t="s">
        <v>294</v>
      </c>
      <c r="C76" s="95" t="s">
        <v>295</v>
      </c>
      <c r="D76" s="88">
        <f t="shared" si="1"/>
        <v>0.3192686357</v>
      </c>
      <c r="E76" s="96">
        <v>711.0</v>
      </c>
      <c r="F76" s="96">
        <v>227.0</v>
      </c>
    </row>
    <row r="77" ht="12.75" customHeight="1">
      <c r="A77" s="97" t="s">
        <v>133</v>
      </c>
      <c r="B77" s="95" t="s">
        <v>296</v>
      </c>
      <c r="C77" s="95" t="s">
        <v>297</v>
      </c>
      <c r="D77" s="88">
        <f t="shared" si="1"/>
        <v>0.1254237288</v>
      </c>
      <c r="E77" s="96">
        <v>295.0</v>
      </c>
      <c r="F77" s="96">
        <v>37.0</v>
      </c>
    </row>
    <row r="78" ht="12.75" customHeight="1">
      <c r="A78" s="97" t="s">
        <v>133</v>
      </c>
      <c r="B78" s="95" t="s">
        <v>298</v>
      </c>
      <c r="C78" s="95" t="s">
        <v>299</v>
      </c>
      <c r="D78" s="88">
        <f t="shared" si="1"/>
        <v>0</v>
      </c>
      <c r="E78" s="96">
        <v>3535.0</v>
      </c>
      <c r="F78" s="96">
        <v>0.0</v>
      </c>
    </row>
    <row r="79" ht="12.75" customHeight="1">
      <c r="A79" s="97" t="s">
        <v>133</v>
      </c>
      <c r="B79" s="95" t="s">
        <v>300</v>
      </c>
      <c r="C79" s="95" t="s">
        <v>301</v>
      </c>
      <c r="D79" s="88">
        <f t="shared" si="1"/>
        <v>1.361111111</v>
      </c>
      <c r="E79" s="96">
        <v>144.0</v>
      </c>
      <c r="F79" s="96">
        <v>196.0</v>
      </c>
    </row>
    <row r="80" ht="12.75" customHeight="1">
      <c r="A80" s="97" t="s">
        <v>133</v>
      </c>
      <c r="B80" s="95" t="s">
        <v>302</v>
      </c>
      <c r="C80" s="95" t="s">
        <v>303</v>
      </c>
      <c r="D80" s="88">
        <f t="shared" si="1"/>
        <v>0.08529945554</v>
      </c>
      <c r="E80" s="96">
        <v>551.0</v>
      </c>
      <c r="F80" s="96">
        <v>47.0</v>
      </c>
    </row>
    <row r="81" ht="12.75" customHeight="1">
      <c r="A81" s="97" t="s">
        <v>133</v>
      </c>
      <c r="B81" s="95" t="s">
        <v>304</v>
      </c>
      <c r="C81" s="95" t="s">
        <v>305</v>
      </c>
      <c r="D81" s="88">
        <f t="shared" si="1"/>
        <v>0</v>
      </c>
      <c r="E81" s="96">
        <v>78.0</v>
      </c>
      <c r="F81" s="96">
        <v>0.0</v>
      </c>
    </row>
    <row r="82" ht="12.75" customHeight="1">
      <c r="A82" s="97" t="s">
        <v>133</v>
      </c>
      <c r="B82" s="95" t="s">
        <v>306</v>
      </c>
      <c r="C82" s="95" t="s">
        <v>307</v>
      </c>
      <c r="D82" s="88">
        <f t="shared" si="1"/>
        <v>0</v>
      </c>
      <c r="E82" s="96">
        <v>295.0</v>
      </c>
      <c r="F82" s="96">
        <v>0.0</v>
      </c>
    </row>
    <row r="83" ht="12.75" customHeight="1">
      <c r="A83" s="97" t="s">
        <v>133</v>
      </c>
      <c r="B83" s="95" t="s">
        <v>308</v>
      </c>
      <c r="C83" s="95" t="s">
        <v>309</v>
      </c>
      <c r="D83" s="88">
        <f t="shared" si="1"/>
        <v>0</v>
      </c>
      <c r="E83" s="96">
        <v>290.0</v>
      </c>
      <c r="F83" s="96">
        <v>0.0</v>
      </c>
    </row>
    <row r="84" ht="12.75" customHeight="1">
      <c r="A84" s="97" t="s">
        <v>133</v>
      </c>
      <c r="B84" s="95" t="s">
        <v>310</v>
      </c>
      <c r="C84" s="95" t="s">
        <v>311</v>
      </c>
      <c r="D84" s="88">
        <f t="shared" si="1"/>
        <v>0</v>
      </c>
      <c r="E84" s="96">
        <v>175.0</v>
      </c>
      <c r="F84" s="96">
        <v>0.0</v>
      </c>
    </row>
    <row r="85" ht="12.75" customHeight="1">
      <c r="A85" s="97" t="s">
        <v>133</v>
      </c>
      <c r="B85" s="95" t="s">
        <v>312</v>
      </c>
      <c r="C85" s="95" t="s">
        <v>313</v>
      </c>
      <c r="D85" s="88">
        <f t="shared" si="1"/>
        <v>0</v>
      </c>
      <c r="E85" s="96">
        <v>102.0</v>
      </c>
      <c r="F85" s="96">
        <v>0.0</v>
      </c>
    </row>
    <row r="86" ht="12.75" customHeight="1">
      <c r="A86" s="97" t="s">
        <v>133</v>
      </c>
      <c r="B86" s="95" t="s">
        <v>314</v>
      </c>
      <c r="C86" s="95" t="s">
        <v>315</v>
      </c>
      <c r="D86" s="88">
        <f t="shared" si="1"/>
        <v>2.732539931</v>
      </c>
      <c r="E86" s="96">
        <v>3193.0</v>
      </c>
      <c r="F86" s="96">
        <v>8725.0</v>
      </c>
    </row>
    <row r="87" ht="12.75" customHeight="1">
      <c r="A87" s="97" t="s">
        <v>133</v>
      </c>
      <c r="B87" s="95" t="s">
        <v>316</v>
      </c>
      <c r="C87" s="95" t="s">
        <v>317</v>
      </c>
      <c r="D87" s="88">
        <f t="shared" si="1"/>
        <v>0.5044182622</v>
      </c>
      <c r="E87" s="96">
        <v>4074.0</v>
      </c>
      <c r="F87" s="96">
        <v>2055.0</v>
      </c>
    </row>
    <row r="88" ht="12.75" customHeight="1">
      <c r="A88" s="97" t="s">
        <v>133</v>
      </c>
      <c r="B88" s="95" t="s">
        <v>318</v>
      </c>
      <c r="C88" s="95" t="s">
        <v>319</v>
      </c>
      <c r="D88" s="88">
        <f t="shared" si="1"/>
        <v>0</v>
      </c>
      <c r="E88" s="96">
        <v>406.0</v>
      </c>
      <c r="F88" s="96">
        <v>0.0</v>
      </c>
    </row>
    <row r="89" ht="12.75" customHeight="1">
      <c r="A89" s="97" t="s">
        <v>133</v>
      </c>
      <c r="B89" s="95" t="s">
        <v>320</v>
      </c>
      <c r="C89" s="95" t="s">
        <v>321</v>
      </c>
      <c r="D89" s="88">
        <f t="shared" si="1"/>
        <v>0</v>
      </c>
      <c r="E89" s="96">
        <v>846.0</v>
      </c>
      <c r="F89" s="96">
        <v>0.0</v>
      </c>
    </row>
    <row r="90" ht="12.75" customHeight="1">
      <c r="A90" s="97" t="s">
        <v>133</v>
      </c>
      <c r="B90" s="95" t="s">
        <v>322</v>
      </c>
      <c r="C90" s="95" t="s">
        <v>323</v>
      </c>
      <c r="D90" s="88">
        <f t="shared" si="1"/>
        <v>0</v>
      </c>
      <c r="E90" s="96">
        <v>182.0</v>
      </c>
      <c r="F90" s="96">
        <v>0.0</v>
      </c>
    </row>
    <row r="91" ht="12.75" customHeight="1">
      <c r="A91" s="97" t="s">
        <v>133</v>
      </c>
      <c r="B91" s="95" t="s">
        <v>324</v>
      </c>
      <c r="C91" s="95" t="s">
        <v>325</v>
      </c>
      <c r="D91" s="88">
        <f t="shared" si="1"/>
        <v>7.515957447</v>
      </c>
      <c r="E91" s="96">
        <v>188.0</v>
      </c>
      <c r="F91" s="96">
        <v>1413.0</v>
      </c>
    </row>
    <row r="92" ht="12.75" customHeight="1">
      <c r="A92" s="97" t="s">
        <v>133</v>
      </c>
      <c r="B92" s="95" t="s">
        <v>326</v>
      </c>
      <c r="C92" s="95" t="s">
        <v>327</v>
      </c>
      <c r="D92" s="88">
        <f t="shared" si="1"/>
        <v>0.4425237684</v>
      </c>
      <c r="E92" s="96">
        <v>1157.0</v>
      </c>
      <c r="F92" s="96">
        <v>512.0</v>
      </c>
    </row>
    <row r="93" ht="12.75" customHeight="1">
      <c r="A93" s="97" t="s">
        <v>133</v>
      </c>
      <c r="B93" s="95" t="s">
        <v>328</v>
      </c>
      <c r="C93" s="95" t="s">
        <v>329</v>
      </c>
      <c r="D93" s="88">
        <f t="shared" si="1"/>
        <v>0</v>
      </c>
      <c r="E93" s="96">
        <v>107.0</v>
      </c>
      <c r="F93" s="96">
        <v>0.0</v>
      </c>
    </row>
    <row r="94" ht="12.75" customHeight="1">
      <c r="A94" s="97" t="s">
        <v>133</v>
      </c>
      <c r="B94" s="95" t="s">
        <v>330</v>
      </c>
      <c r="C94" s="95" t="s">
        <v>331</v>
      </c>
      <c r="D94" s="88">
        <f t="shared" si="1"/>
        <v>0</v>
      </c>
      <c r="E94" s="96">
        <v>157.0</v>
      </c>
      <c r="F94" s="96">
        <v>0.0</v>
      </c>
    </row>
    <row r="95" ht="12.75" customHeight="1">
      <c r="A95" s="97" t="s">
        <v>133</v>
      </c>
      <c r="B95" s="95" t="s">
        <v>332</v>
      </c>
      <c r="C95" s="95" t="s">
        <v>333</v>
      </c>
      <c r="D95" s="88">
        <f t="shared" si="1"/>
        <v>3.469856459</v>
      </c>
      <c r="E95" s="96">
        <v>2090.0</v>
      </c>
      <c r="F95" s="96">
        <v>7252.0</v>
      </c>
    </row>
    <row r="96" ht="12.75" customHeight="1">
      <c r="A96" s="97" t="s">
        <v>133</v>
      </c>
      <c r="B96" s="95" t="s">
        <v>334</v>
      </c>
      <c r="C96" s="95" t="s">
        <v>335</v>
      </c>
      <c r="D96" s="88">
        <f t="shared" si="1"/>
        <v>1.961519378</v>
      </c>
      <c r="E96" s="96">
        <v>18139.0</v>
      </c>
      <c r="F96" s="96">
        <v>35580.0</v>
      </c>
    </row>
    <row r="97" ht="12.75" customHeight="1">
      <c r="A97" s="97" t="s">
        <v>133</v>
      </c>
      <c r="B97" s="95" t="s">
        <v>336</v>
      </c>
      <c r="C97" s="95" t="s">
        <v>337</v>
      </c>
      <c r="D97" s="88">
        <f t="shared" si="1"/>
        <v>2.101769912</v>
      </c>
      <c r="E97" s="96">
        <v>452.0</v>
      </c>
      <c r="F97" s="96">
        <v>950.0</v>
      </c>
    </row>
    <row r="98" ht="12.75" customHeight="1">
      <c r="A98" s="97" t="s">
        <v>133</v>
      </c>
      <c r="B98" s="95" t="s">
        <v>338</v>
      </c>
      <c r="C98" s="95" t="s">
        <v>339</v>
      </c>
      <c r="D98" s="88">
        <f t="shared" si="1"/>
        <v>1.17049592</v>
      </c>
      <c r="E98" s="96">
        <v>7965.0</v>
      </c>
      <c r="F98" s="96">
        <v>9323.0</v>
      </c>
    </row>
    <row r="99" ht="12.75" customHeight="1">
      <c r="A99" s="97" t="s">
        <v>133</v>
      </c>
      <c r="B99" s="95" t="s">
        <v>340</v>
      </c>
      <c r="C99" s="95" t="s">
        <v>341</v>
      </c>
      <c r="D99" s="88">
        <f t="shared" si="1"/>
        <v>0</v>
      </c>
      <c r="E99" s="96">
        <v>401.0</v>
      </c>
      <c r="F99" s="96">
        <v>0.0</v>
      </c>
    </row>
    <row r="100" ht="12.75" customHeight="1">
      <c r="A100" s="97" t="s">
        <v>133</v>
      </c>
      <c r="B100" s="95" t="s">
        <v>342</v>
      </c>
      <c r="C100" s="95" t="s">
        <v>343</v>
      </c>
      <c r="D100" s="88">
        <f t="shared" si="1"/>
        <v>0</v>
      </c>
      <c r="E100" s="96">
        <v>421.0</v>
      </c>
      <c r="F100" s="96">
        <v>0.0</v>
      </c>
    </row>
    <row r="101" ht="12.75" customHeight="1">
      <c r="A101" s="97" t="s">
        <v>133</v>
      </c>
      <c r="B101" s="95" t="s">
        <v>344</v>
      </c>
      <c r="C101" s="95" t="s">
        <v>345</v>
      </c>
      <c r="D101" s="88">
        <f t="shared" si="1"/>
        <v>0</v>
      </c>
      <c r="E101" s="96">
        <v>56.0</v>
      </c>
      <c r="F101" s="96">
        <v>0.0</v>
      </c>
    </row>
    <row r="102" ht="12.75" customHeight="1">
      <c r="A102" s="97" t="s">
        <v>133</v>
      </c>
      <c r="B102" s="95" t="s">
        <v>346</v>
      </c>
      <c r="C102" s="95" t="s">
        <v>347</v>
      </c>
      <c r="D102" s="88">
        <f t="shared" si="1"/>
        <v>0</v>
      </c>
      <c r="E102" s="96">
        <v>143.0</v>
      </c>
      <c r="F102" s="96">
        <v>0.0</v>
      </c>
    </row>
    <row r="103" ht="12.75" customHeight="1">
      <c r="A103" s="97" t="s">
        <v>133</v>
      </c>
      <c r="B103" s="95" t="s">
        <v>348</v>
      </c>
      <c r="C103" s="95" t="s">
        <v>349</v>
      </c>
      <c r="D103" s="88">
        <f t="shared" si="1"/>
        <v>0</v>
      </c>
      <c r="E103" s="96">
        <v>109.0</v>
      </c>
      <c r="F103" s="96">
        <v>0.0</v>
      </c>
    </row>
    <row r="104" ht="12.75" customHeight="1">
      <c r="A104" s="97" t="s">
        <v>133</v>
      </c>
      <c r="B104" s="95" t="s">
        <v>350</v>
      </c>
      <c r="C104" s="95" t="s">
        <v>351</v>
      </c>
      <c r="D104" s="88">
        <f t="shared" si="1"/>
        <v>0</v>
      </c>
      <c r="E104" s="96">
        <v>375.0</v>
      </c>
      <c r="F104" s="96">
        <v>0.0</v>
      </c>
    </row>
    <row r="105" ht="12.75" customHeight="1">
      <c r="A105" s="97" t="s">
        <v>133</v>
      </c>
      <c r="B105" s="95" t="s">
        <v>352</v>
      </c>
      <c r="C105" s="95" t="s">
        <v>353</v>
      </c>
      <c r="D105" s="88">
        <f t="shared" si="1"/>
        <v>0</v>
      </c>
      <c r="E105" s="96">
        <v>28.0</v>
      </c>
      <c r="F105" s="96">
        <v>0.0</v>
      </c>
    </row>
    <row r="106" ht="12.75" customHeight="1">
      <c r="A106" s="97" t="s">
        <v>133</v>
      </c>
      <c r="B106" s="95" t="s">
        <v>354</v>
      </c>
      <c r="C106" s="95" t="s">
        <v>355</v>
      </c>
      <c r="D106" s="88">
        <f t="shared" si="1"/>
        <v>0.8635464733</v>
      </c>
      <c r="E106" s="96">
        <v>1517.0</v>
      </c>
      <c r="F106" s="96">
        <v>1310.0</v>
      </c>
    </row>
    <row r="107" ht="12.75" customHeight="1">
      <c r="A107" s="97" t="s">
        <v>133</v>
      </c>
      <c r="B107" s="95" t="s">
        <v>356</v>
      </c>
      <c r="C107" s="95" t="s">
        <v>357</v>
      </c>
      <c r="D107" s="88">
        <f t="shared" si="1"/>
        <v>0</v>
      </c>
      <c r="E107" s="96">
        <v>107.0</v>
      </c>
      <c r="F107" s="96">
        <v>0.0</v>
      </c>
    </row>
    <row r="108" ht="12.75" customHeight="1">
      <c r="A108" s="97" t="s">
        <v>133</v>
      </c>
      <c r="B108" s="95" t="s">
        <v>358</v>
      </c>
      <c r="C108" s="95" t="s">
        <v>359</v>
      </c>
      <c r="D108" s="88">
        <f t="shared" si="1"/>
        <v>0</v>
      </c>
      <c r="E108" s="96">
        <v>2445.0</v>
      </c>
      <c r="F108" s="96">
        <v>0.0</v>
      </c>
    </row>
    <row r="109" ht="12.75" customHeight="1">
      <c r="A109" s="97" t="s">
        <v>133</v>
      </c>
      <c r="B109" s="95" t="s">
        <v>360</v>
      </c>
      <c r="C109" s="95" t="s">
        <v>361</v>
      </c>
      <c r="D109" s="88">
        <f t="shared" si="1"/>
        <v>0</v>
      </c>
      <c r="E109" s="96">
        <v>139.0</v>
      </c>
      <c r="F109" s="96">
        <v>0.0</v>
      </c>
    </row>
    <row r="110" ht="12.75" customHeight="1">
      <c r="A110" s="97" t="s">
        <v>133</v>
      </c>
      <c r="B110" s="95" t="s">
        <v>362</v>
      </c>
      <c r="C110" s="95" t="s">
        <v>363</v>
      </c>
      <c r="D110" s="88">
        <f t="shared" si="1"/>
        <v>0</v>
      </c>
      <c r="E110" s="96">
        <v>418.0</v>
      </c>
      <c r="F110" s="96">
        <v>0.0</v>
      </c>
    </row>
    <row r="111" ht="12.75" customHeight="1">
      <c r="A111" s="97" t="s">
        <v>133</v>
      </c>
      <c r="B111" s="95" t="s">
        <v>364</v>
      </c>
      <c r="C111" s="95" t="s">
        <v>365</v>
      </c>
      <c r="D111" s="88">
        <f t="shared" si="1"/>
        <v>0</v>
      </c>
      <c r="E111" s="96">
        <v>193.0</v>
      </c>
      <c r="F111" s="96">
        <v>0.0</v>
      </c>
    </row>
    <row r="112" ht="12.75" customHeight="1">
      <c r="A112" s="97" t="s">
        <v>133</v>
      </c>
      <c r="B112" s="95" t="s">
        <v>366</v>
      </c>
      <c r="C112" s="95" t="s">
        <v>367</v>
      </c>
      <c r="D112" s="88">
        <f t="shared" si="1"/>
        <v>0</v>
      </c>
      <c r="E112" s="96">
        <v>348.0</v>
      </c>
      <c r="F112" s="96">
        <v>0.0</v>
      </c>
    </row>
    <row r="113" ht="12.75" customHeight="1">
      <c r="A113" s="97" t="s">
        <v>135</v>
      </c>
      <c r="B113" s="95" t="s">
        <v>368</v>
      </c>
      <c r="C113" s="95" t="s">
        <v>369</v>
      </c>
      <c r="D113" s="88">
        <f t="shared" si="1"/>
        <v>1.5699277</v>
      </c>
      <c r="E113" s="96">
        <v>8852.0</v>
      </c>
      <c r="F113" s="96">
        <v>13897.0</v>
      </c>
    </row>
    <row r="114" ht="12.75" customHeight="1">
      <c r="A114" s="97" t="s">
        <v>136</v>
      </c>
      <c r="B114" s="95" t="s">
        <v>370</v>
      </c>
      <c r="C114" s="95" t="s">
        <v>371</v>
      </c>
      <c r="D114" s="88">
        <f t="shared" si="1"/>
        <v>0.3333333333</v>
      </c>
      <c r="E114" s="96">
        <v>4935.0</v>
      </c>
      <c r="F114" s="96">
        <v>1645.0</v>
      </c>
    </row>
    <row r="115" ht="12.75" customHeight="1">
      <c r="A115" s="97" t="s">
        <v>138</v>
      </c>
      <c r="B115" s="95" t="s">
        <v>372</v>
      </c>
      <c r="C115" s="95" t="s">
        <v>373</v>
      </c>
      <c r="D115" s="88">
        <f t="shared" si="1"/>
        <v>0.3148148148</v>
      </c>
      <c r="E115" s="96">
        <v>108.0</v>
      </c>
      <c r="F115" s="96">
        <v>34.0</v>
      </c>
    </row>
    <row r="116" ht="12.75" customHeight="1">
      <c r="A116" s="97" t="s">
        <v>138</v>
      </c>
      <c r="B116" s="95" t="s">
        <v>374</v>
      </c>
      <c r="C116" s="95" t="s">
        <v>375</v>
      </c>
      <c r="D116" s="88">
        <f t="shared" si="1"/>
        <v>0</v>
      </c>
      <c r="E116" s="96">
        <v>1532.0</v>
      </c>
      <c r="F116" s="96">
        <v>0.0</v>
      </c>
    </row>
    <row r="117" ht="12.75" customHeight="1">
      <c r="A117" s="97" t="s">
        <v>138</v>
      </c>
      <c r="B117" s="95" t="s">
        <v>376</v>
      </c>
      <c r="C117" s="95" t="s">
        <v>377</v>
      </c>
      <c r="D117" s="88">
        <f t="shared" si="1"/>
        <v>0</v>
      </c>
      <c r="E117" s="96">
        <v>49.0</v>
      </c>
      <c r="F117" s="96">
        <v>0.0</v>
      </c>
    </row>
    <row r="118" ht="12.75" customHeight="1">
      <c r="A118" s="97" t="s">
        <v>138</v>
      </c>
      <c r="B118" s="95" t="s">
        <v>378</v>
      </c>
      <c r="C118" s="95" t="s">
        <v>379</v>
      </c>
      <c r="D118" s="88">
        <f t="shared" si="1"/>
        <v>0</v>
      </c>
      <c r="E118" s="96">
        <v>19.0</v>
      </c>
      <c r="F118" s="96">
        <v>0.0</v>
      </c>
    </row>
    <row r="119" ht="12.75" customHeight="1">
      <c r="A119" s="97" t="s">
        <v>138</v>
      </c>
      <c r="B119" s="95" t="s">
        <v>380</v>
      </c>
      <c r="C119" s="95" t="s">
        <v>381</v>
      </c>
      <c r="D119" s="88">
        <f t="shared" si="1"/>
        <v>0.3737373737</v>
      </c>
      <c r="E119" s="96">
        <v>297.0</v>
      </c>
      <c r="F119" s="96">
        <v>111.0</v>
      </c>
    </row>
    <row r="120" ht="12.75" customHeight="1">
      <c r="A120" s="97" t="s">
        <v>138</v>
      </c>
      <c r="B120" s="95" t="s">
        <v>382</v>
      </c>
      <c r="C120" s="95" t="s">
        <v>383</v>
      </c>
      <c r="D120" s="88">
        <f t="shared" si="1"/>
        <v>0</v>
      </c>
      <c r="E120" s="96">
        <v>594.0</v>
      </c>
      <c r="F120" s="96">
        <v>0.0</v>
      </c>
    </row>
    <row r="121" ht="12.75" customHeight="1">
      <c r="A121" s="97" t="s">
        <v>138</v>
      </c>
      <c r="B121" s="95" t="s">
        <v>384</v>
      </c>
      <c r="C121" s="95" t="s">
        <v>385</v>
      </c>
      <c r="D121" s="88">
        <f t="shared" si="1"/>
        <v>0</v>
      </c>
      <c r="E121" s="96">
        <v>667.0</v>
      </c>
      <c r="F121" s="96">
        <v>0.0</v>
      </c>
    </row>
    <row r="122" ht="12.75" customHeight="1">
      <c r="A122" s="97" t="s">
        <v>138</v>
      </c>
      <c r="B122" s="95" t="s">
        <v>386</v>
      </c>
      <c r="C122" s="95" t="s">
        <v>387</v>
      </c>
      <c r="D122" s="88">
        <f t="shared" si="1"/>
        <v>0.2314814815</v>
      </c>
      <c r="E122" s="96">
        <v>108.0</v>
      </c>
      <c r="F122" s="96">
        <v>25.0</v>
      </c>
    </row>
    <row r="123" ht="12.75" customHeight="1">
      <c r="A123" s="97" t="s">
        <v>138</v>
      </c>
      <c r="B123" s="95" t="s">
        <v>388</v>
      </c>
      <c r="C123" s="95" t="s">
        <v>389</v>
      </c>
      <c r="D123" s="88">
        <f t="shared" si="1"/>
        <v>0</v>
      </c>
      <c r="E123" s="96">
        <v>2223.0</v>
      </c>
      <c r="F123" s="96">
        <v>0.0</v>
      </c>
    </row>
    <row r="124" ht="12.75" customHeight="1">
      <c r="A124" s="97" t="s">
        <v>138</v>
      </c>
      <c r="B124" s="95" t="s">
        <v>390</v>
      </c>
      <c r="C124" s="95" t="s">
        <v>391</v>
      </c>
      <c r="D124" s="88">
        <f t="shared" si="1"/>
        <v>0</v>
      </c>
      <c r="E124" s="96">
        <v>116.0</v>
      </c>
      <c r="F124" s="96">
        <v>0.0</v>
      </c>
    </row>
    <row r="125" ht="12.75" customHeight="1">
      <c r="A125" s="97" t="s">
        <v>138</v>
      </c>
      <c r="B125" s="95" t="s">
        <v>392</v>
      </c>
      <c r="C125" s="95" t="s">
        <v>393</v>
      </c>
      <c r="D125" s="88">
        <f t="shared" si="1"/>
        <v>0</v>
      </c>
      <c r="E125" s="96">
        <v>120.0</v>
      </c>
      <c r="F125" s="96">
        <v>0.0</v>
      </c>
    </row>
    <row r="126" ht="12.75" customHeight="1">
      <c r="A126" s="97" t="s">
        <v>138</v>
      </c>
      <c r="B126" s="95" t="s">
        <v>394</v>
      </c>
      <c r="C126" s="95" t="s">
        <v>395</v>
      </c>
      <c r="D126" s="88">
        <f t="shared" si="1"/>
        <v>0</v>
      </c>
      <c r="E126" s="96">
        <v>1767.0</v>
      </c>
      <c r="F126" s="96">
        <v>0.0</v>
      </c>
    </row>
    <row r="127" ht="12.75" customHeight="1">
      <c r="A127" s="97" t="s">
        <v>138</v>
      </c>
      <c r="B127" s="95" t="s">
        <v>396</v>
      </c>
      <c r="C127" s="95" t="s">
        <v>397</v>
      </c>
      <c r="D127" s="88">
        <f t="shared" si="1"/>
        <v>0</v>
      </c>
      <c r="E127" s="96">
        <v>236.0</v>
      </c>
      <c r="F127" s="96">
        <v>0.0</v>
      </c>
    </row>
    <row r="128" ht="12.75" customHeight="1">
      <c r="A128" s="97" t="s">
        <v>138</v>
      </c>
      <c r="B128" s="95" t="s">
        <v>398</v>
      </c>
      <c r="C128" s="95" t="s">
        <v>399</v>
      </c>
      <c r="D128" s="88">
        <f t="shared" si="1"/>
        <v>0</v>
      </c>
      <c r="E128" s="96">
        <v>279.0</v>
      </c>
      <c r="F128" s="96">
        <v>0.0</v>
      </c>
    </row>
    <row r="129" ht="12.75" customHeight="1">
      <c r="A129" s="97" t="s">
        <v>138</v>
      </c>
      <c r="B129" s="95" t="s">
        <v>400</v>
      </c>
      <c r="C129" s="95" t="s">
        <v>401</v>
      </c>
      <c r="D129" s="88">
        <f t="shared" si="1"/>
        <v>0</v>
      </c>
      <c r="E129" s="96">
        <v>305.0</v>
      </c>
      <c r="F129" s="96">
        <v>0.0</v>
      </c>
    </row>
    <row r="130" ht="12.75" customHeight="1">
      <c r="A130" s="97" t="s">
        <v>138</v>
      </c>
      <c r="B130" s="95" t="s">
        <v>402</v>
      </c>
      <c r="C130" s="95" t="s">
        <v>403</v>
      </c>
      <c r="D130" s="88">
        <f t="shared" si="1"/>
        <v>0</v>
      </c>
      <c r="E130" s="96">
        <v>999.0</v>
      </c>
      <c r="F130" s="96">
        <v>0.0</v>
      </c>
    </row>
    <row r="131" ht="12.75" customHeight="1">
      <c r="A131" s="97" t="s">
        <v>138</v>
      </c>
      <c r="B131" s="95" t="s">
        <v>404</v>
      </c>
      <c r="C131" s="95" t="s">
        <v>405</v>
      </c>
      <c r="D131" s="88">
        <f t="shared" si="1"/>
        <v>0</v>
      </c>
      <c r="E131" s="96">
        <v>377.0</v>
      </c>
      <c r="F131" s="96">
        <v>0.0</v>
      </c>
    </row>
    <row r="132" ht="12.75" customHeight="1">
      <c r="A132" s="97" t="s">
        <v>138</v>
      </c>
      <c r="B132" s="95" t="s">
        <v>406</v>
      </c>
      <c r="C132" s="95" t="s">
        <v>407</v>
      </c>
      <c r="D132" s="88">
        <f t="shared" si="1"/>
        <v>0</v>
      </c>
      <c r="E132" s="96">
        <v>13.0</v>
      </c>
      <c r="F132" s="96">
        <v>0.0</v>
      </c>
    </row>
    <row r="133" ht="12.75" customHeight="1">
      <c r="A133" s="97" t="s">
        <v>138</v>
      </c>
      <c r="B133" s="95" t="s">
        <v>408</v>
      </c>
      <c r="C133" s="95" t="s">
        <v>409</v>
      </c>
      <c r="D133" s="88">
        <f t="shared" si="1"/>
        <v>0</v>
      </c>
      <c r="E133" s="96">
        <v>7814.0</v>
      </c>
      <c r="F133" s="96">
        <v>0.0</v>
      </c>
    </row>
    <row r="134" ht="12.75" customHeight="1">
      <c r="A134" s="97" t="s">
        <v>138</v>
      </c>
      <c r="B134" s="95" t="s">
        <v>410</v>
      </c>
      <c r="C134" s="95" t="s">
        <v>411</v>
      </c>
      <c r="D134" s="88">
        <f t="shared" si="1"/>
        <v>0.8759923351</v>
      </c>
      <c r="E134" s="96">
        <v>3653.0</v>
      </c>
      <c r="F134" s="96">
        <v>3200.0</v>
      </c>
    </row>
    <row r="135" ht="12.75" customHeight="1">
      <c r="A135" s="97" t="s">
        <v>138</v>
      </c>
      <c r="B135" s="95" t="s">
        <v>412</v>
      </c>
      <c r="C135" s="95" t="s">
        <v>413</v>
      </c>
      <c r="D135" s="88">
        <f t="shared" si="1"/>
        <v>0</v>
      </c>
      <c r="E135" s="96">
        <v>1801.0</v>
      </c>
      <c r="F135" s="96">
        <v>0.0</v>
      </c>
    </row>
    <row r="136" ht="12.75" customHeight="1">
      <c r="A136" s="97" t="s">
        <v>138</v>
      </c>
      <c r="B136" s="95" t="s">
        <v>414</v>
      </c>
      <c r="C136" s="95" t="s">
        <v>415</v>
      </c>
      <c r="D136" s="88">
        <f t="shared" si="1"/>
        <v>0</v>
      </c>
      <c r="E136" s="96">
        <v>24.0</v>
      </c>
      <c r="F136" s="96">
        <v>0.0</v>
      </c>
    </row>
    <row r="137" ht="12.75" customHeight="1">
      <c r="A137" s="97" t="s">
        <v>138</v>
      </c>
      <c r="B137" s="95" t="s">
        <v>416</v>
      </c>
      <c r="C137" s="95" t="s">
        <v>417</v>
      </c>
      <c r="D137" s="88">
        <f t="shared" si="1"/>
        <v>0</v>
      </c>
      <c r="E137" s="96">
        <v>450.0</v>
      </c>
      <c r="F137" s="96">
        <v>0.0</v>
      </c>
    </row>
    <row r="138" ht="12.75" customHeight="1">
      <c r="A138" s="97" t="s">
        <v>138</v>
      </c>
      <c r="B138" s="95" t="s">
        <v>418</v>
      </c>
      <c r="C138" s="95" t="s">
        <v>419</v>
      </c>
      <c r="D138" s="88">
        <f t="shared" si="1"/>
        <v>0.1183222037</v>
      </c>
      <c r="E138" s="96">
        <v>4792.0</v>
      </c>
      <c r="F138" s="96">
        <v>567.0</v>
      </c>
    </row>
    <row r="139" ht="12.75" customHeight="1">
      <c r="A139" s="97" t="s">
        <v>138</v>
      </c>
      <c r="B139" s="95" t="s">
        <v>420</v>
      </c>
      <c r="C139" s="95" t="s">
        <v>421</v>
      </c>
      <c r="D139" s="88">
        <f t="shared" si="1"/>
        <v>0</v>
      </c>
      <c r="E139" s="96">
        <v>46.0</v>
      </c>
      <c r="F139" s="96">
        <v>0.0</v>
      </c>
    </row>
    <row r="140" ht="12.75" customHeight="1">
      <c r="A140" s="97" t="s">
        <v>138</v>
      </c>
      <c r="B140" s="95" t="s">
        <v>422</v>
      </c>
      <c r="C140" s="95" t="s">
        <v>423</v>
      </c>
      <c r="D140" s="88">
        <f t="shared" si="1"/>
        <v>0</v>
      </c>
      <c r="E140" s="96">
        <v>2.0</v>
      </c>
      <c r="F140" s="96">
        <v>0.0</v>
      </c>
    </row>
    <row r="141" ht="12.75" customHeight="1">
      <c r="A141" s="97" t="s">
        <v>138</v>
      </c>
      <c r="B141" s="95" t="s">
        <v>424</v>
      </c>
      <c r="C141" s="95" t="s">
        <v>425</v>
      </c>
      <c r="D141" s="88">
        <f t="shared" si="1"/>
        <v>0</v>
      </c>
      <c r="E141" s="96">
        <v>70.0</v>
      </c>
      <c r="F141" s="96">
        <v>0.0</v>
      </c>
    </row>
    <row r="142" ht="12.75" customHeight="1">
      <c r="A142" s="97" t="s">
        <v>138</v>
      </c>
      <c r="B142" s="95" t="s">
        <v>426</v>
      </c>
      <c r="C142" s="95" t="s">
        <v>427</v>
      </c>
      <c r="D142" s="88">
        <f t="shared" si="1"/>
        <v>0</v>
      </c>
      <c r="E142" s="96">
        <v>297.0</v>
      </c>
      <c r="F142" s="96">
        <v>0.0</v>
      </c>
    </row>
    <row r="143" ht="12.75" customHeight="1">
      <c r="A143" s="97" t="s">
        <v>138</v>
      </c>
      <c r="B143" s="95" t="s">
        <v>428</v>
      </c>
      <c r="C143" s="95" t="s">
        <v>429</v>
      </c>
      <c r="D143" s="88">
        <f t="shared" si="1"/>
        <v>0.04365370506</v>
      </c>
      <c r="E143" s="96">
        <v>2726.0</v>
      </c>
      <c r="F143" s="96">
        <v>119.0</v>
      </c>
    </row>
    <row r="144" ht="12.75" customHeight="1">
      <c r="A144" s="97" t="s">
        <v>138</v>
      </c>
      <c r="B144" s="95" t="s">
        <v>430</v>
      </c>
      <c r="C144" s="95" t="s">
        <v>431</v>
      </c>
      <c r="D144" s="88">
        <f t="shared" si="1"/>
        <v>0</v>
      </c>
      <c r="E144" s="96">
        <v>808.0</v>
      </c>
      <c r="F144" s="96">
        <v>0.0</v>
      </c>
    </row>
    <row r="145" ht="12.75" customHeight="1">
      <c r="A145" s="97" t="s">
        <v>138</v>
      </c>
      <c r="B145" s="95" t="s">
        <v>432</v>
      </c>
      <c r="C145" s="95" t="s">
        <v>433</v>
      </c>
      <c r="D145" s="88">
        <f t="shared" si="1"/>
        <v>0</v>
      </c>
      <c r="E145" s="96">
        <v>66.0</v>
      </c>
      <c r="F145" s="96">
        <v>0.0</v>
      </c>
    </row>
    <row r="146" ht="12.75" customHeight="1">
      <c r="A146" s="97" t="s">
        <v>138</v>
      </c>
      <c r="B146" s="95" t="s">
        <v>434</v>
      </c>
      <c r="C146" s="95" t="s">
        <v>435</v>
      </c>
      <c r="D146" s="88">
        <f t="shared" si="1"/>
        <v>0</v>
      </c>
      <c r="E146" s="96">
        <v>232.0</v>
      </c>
      <c r="F146" s="96">
        <v>0.0</v>
      </c>
    </row>
    <row r="147" ht="12.75" customHeight="1">
      <c r="A147" s="97" t="s">
        <v>138</v>
      </c>
      <c r="B147" s="95" t="s">
        <v>436</v>
      </c>
      <c r="C147" s="95" t="s">
        <v>437</v>
      </c>
      <c r="D147" s="88">
        <f t="shared" si="1"/>
        <v>0</v>
      </c>
      <c r="E147" s="96">
        <v>429.0</v>
      </c>
      <c r="F147" s="96">
        <v>0.0</v>
      </c>
    </row>
    <row r="148" ht="12.75" customHeight="1">
      <c r="A148" s="97" t="s">
        <v>138</v>
      </c>
      <c r="B148" s="95" t="s">
        <v>438</v>
      </c>
      <c r="C148" s="95" t="s">
        <v>439</v>
      </c>
      <c r="D148" s="88">
        <f t="shared" si="1"/>
        <v>0</v>
      </c>
      <c r="E148" s="96">
        <v>70.0</v>
      </c>
      <c r="F148" s="96">
        <v>0.0</v>
      </c>
    </row>
    <row r="149" ht="12.75" customHeight="1">
      <c r="A149" s="97" t="s">
        <v>138</v>
      </c>
      <c r="B149" s="95" t="s">
        <v>440</v>
      </c>
      <c r="C149" s="95" t="s">
        <v>441</v>
      </c>
      <c r="D149" s="88">
        <f t="shared" si="1"/>
        <v>0</v>
      </c>
      <c r="E149" s="96">
        <v>2.0</v>
      </c>
      <c r="F149" s="96">
        <v>0.0</v>
      </c>
    </row>
    <row r="150" ht="12.75" customHeight="1">
      <c r="A150" s="97" t="s">
        <v>138</v>
      </c>
      <c r="B150" s="95" t="s">
        <v>442</v>
      </c>
      <c r="C150" s="95" t="s">
        <v>443</v>
      </c>
      <c r="D150" s="88">
        <f t="shared" si="1"/>
        <v>0</v>
      </c>
      <c r="E150" s="96">
        <v>1.0</v>
      </c>
      <c r="F150" s="96">
        <v>0.0</v>
      </c>
    </row>
    <row r="151" ht="12.75" customHeight="1">
      <c r="A151" s="97" t="s">
        <v>138</v>
      </c>
      <c r="B151" s="95" t="s">
        <v>444</v>
      </c>
      <c r="C151" s="95" t="s">
        <v>445</v>
      </c>
      <c r="D151" s="88">
        <f t="shared" si="1"/>
        <v>1.831450094</v>
      </c>
      <c r="E151" s="96">
        <v>1062.0</v>
      </c>
      <c r="F151" s="96">
        <v>1945.0</v>
      </c>
    </row>
    <row r="152" ht="12.75" customHeight="1">
      <c r="A152" s="97" t="s">
        <v>138</v>
      </c>
      <c r="B152" s="95" t="s">
        <v>446</v>
      </c>
      <c r="C152" s="95" t="s">
        <v>447</v>
      </c>
      <c r="D152" s="88">
        <f t="shared" si="1"/>
        <v>0</v>
      </c>
      <c r="E152" s="96">
        <v>261.0</v>
      </c>
      <c r="F152" s="96">
        <v>0.0</v>
      </c>
    </row>
    <row r="153" ht="12.75" customHeight="1">
      <c r="A153" s="97" t="s">
        <v>138</v>
      </c>
      <c r="B153" s="95" t="s">
        <v>448</v>
      </c>
      <c r="C153" s="95" t="s">
        <v>449</v>
      </c>
      <c r="D153" s="88">
        <f t="shared" si="1"/>
        <v>0</v>
      </c>
      <c r="E153" s="96">
        <v>2746.0</v>
      </c>
      <c r="F153" s="96">
        <v>0.0</v>
      </c>
    </row>
    <row r="154" ht="12.75" customHeight="1">
      <c r="A154" s="97" t="s">
        <v>138</v>
      </c>
      <c r="B154" s="95" t="s">
        <v>450</v>
      </c>
      <c r="C154" s="95" t="s">
        <v>451</v>
      </c>
      <c r="D154" s="88"/>
      <c r="E154" s="96"/>
      <c r="F154" s="96"/>
    </row>
    <row r="155" ht="12.75" customHeight="1">
      <c r="A155" s="97" t="s">
        <v>138</v>
      </c>
      <c r="B155" s="95" t="s">
        <v>452</v>
      </c>
      <c r="C155" s="95" t="s">
        <v>453</v>
      </c>
      <c r="D155" s="88">
        <f t="shared" ref="D155:D194" si="2">F155/E155</f>
        <v>0</v>
      </c>
      <c r="E155" s="96">
        <v>1623.0</v>
      </c>
      <c r="F155" s="96">
        <v>0.0</v>
      </c>
    </row>
    <row r="156" ht="12.75" customHeight="1">
      <c r="A156" s="97" t="s">
        <v>138</v>
      </c>
      <c r="B156" s="95" t="s">
        <v>454</v>
      </c>
      <c r="C156" s="95" t="s">
        <v>455</v>
      </c>
      <c r="D156" s="88">
        <f t="shared" si="2"/>
        <v>0</v>
      </c>
      <c r="E156" s="96">
        <v>11063.0</v>
      </c>
      <c r="F156" s="96">
        <v>0.0</v>
      </c>
    </row>
    <row r="157" ht="12.75" customHeight="1">
      <c r="A157" s="97" t="s">
        <v>138</v>
      </c>
      <c r="B157" s="95" t="s">
        <v>456</v>
      </c>
      <c r="C157" s="95" t="s">
        <v>457</v>
      </c>
      <c r="D157" s="88">
        <f t="shared" si="2"/>
        <v>0</v>
      </c>
      <c r="E157" s="96">
        <v>43.0</v>
      </c>
      <c r="F157" s="96">
        <v>0.0</v>
      </c>
    </row>
    <row r="158" ht="12.75" customHeight="1">
      <c r="A158" s="97" t="s">
        <v>138</v>
      </c>
      <c r="B158" s="95" t="s">
        <v>458</v>
      </c>
      <c r="C158" s="95" t="s">
        <v>459</v>
      </c>
      <c r="D158" s="88">
        <f t="shared" si="2"/>
        <v>0</v>
      </c>
      <c r="E158" s="96">
        <v>2483.0</v>
      </c>
      <c r="F158" s="96">
        <v>0.0</v>
      </c>
    </row>
    <row r="159" ht="12.75" customHeight="1">
      <c r="A159" s="97" t="s">
        <v>138</v>
      </c>
      <c r="B159" s="95" t="s">
        <v>460</v>
      </c>
      <c r="C159" s="95" t="s">
        <v>461</v>
      </c>
      <c r="D159" s="88">
        <f t="shared" si="2"/>
        <v>0.3933274802</v>
      </c>
      <c r="E159" s="96">
        <v>1139.0</v>
      </c>
      <c r="F159" s="96">
        <v>448.0</v>
      </c>
    </row>
    <row r="160" ht="12.75" customHeight="1">
      <c r="A160" s="97" t="s">
        <v>138</v>
      </c>
      <c r="B160" s="95" t="s">
        <v>462</v>
      </c>
      <c r="C160" s="95" t="s">
        <v>463</v>
      </c>
      <c r="D160" s="88">
        <f t="shared" si="2"/>
        <v>0</v>
      </c>
      <c r="E160" s="96">
        <v>1202.0</v>
      </c>
      <c r="F160" s="96">
        <v>0.0</v>
      </c>
    </row>
    <row r="161" ht="12.75" customHeight="1">
      <c r="A161" s="97" t="s">
        <v>138</v>
      </c>
      <c r="B161" s="95" t="s">
        <v>464</v>
      </c>
      <c r="C161" s="95" t="s">
        <v>465</v>
      </c>
      <c r="D161" s="88">
        <f t="shared" si="2"/>
        <v>0</v>
      </c>
      <c r="E161" s="96">
        <v>27.0</v>
      </c>
      <c r="F161" s="96">
        <v>0.0</v>
      </c>
    </row>
    <row r="162" ht="12.75" customHeight="1">
      <c r="A162" s="97" t="s">
        <v>138</v>
      </c>
      <c r="B162" s="95" t="s">
        <v>466</v>
      </c>
      <c r="C162" s="95" t="s">
        <v>467</v>
      </c>
      <c r="D162" s="88">
        <f t="shared" si="2"/>
        <v>0</v>
      </c>
      <c r="E162" s="96">
        <v>24.0</v>
      </c>
      <c r="F162" s="96">
        <v>0.0</v>
      </c>
    </row>
    <row r="163" ht="12.75" customHeight="1">
      <c r="A163" s="97" t="s">
        <v>138</v>
      </c>
      <c r="B163" s="95" t="s">
        <v>468</v>
      </c>
      <c r="C163" s="95" t="s">
        <v>469</v>
      </c>
      <c r="D163" s="88">
        <f t="shared" si="2"/>
        <v>0</v>
      </c>
      <c r="E163" s="96">
        <v>130.0</v>
      </c>
      <c r="F163" s="96">
        <v>0.0</v>
      </c>
    </row>
    <row r="164" ht="12.75" customHeight="1">
      <c r="A164" s="97" t="s">
        <v>130</v>
      </c>
      <c r="B164" s="95" t="s">
        <v>470</v>
      </c>
      <c r="C164" s="95" t="s">
        <v>471</v>
      </c>
      <c r="D164" s="88">
        <f t="shared" si="2"/>
        <v>5.706510139</v>
      </c>
      <c r="E164" s="96">
        <v>4685.0</v>
      </c>
      <c r="F164" s="96">
        <v>26735.0</v>
      </c>
    </row>
    <row r="165" ht="12.75" customHeight="1">
      <c r="A165" s="97" t="s">
        <v>140</v>
      </c>
      <c r="B165" s="95" t="s">
        <v>472</v>
      </c>
      <c r="C165" s="95" t="s">
        <v>473</v>
      </c>
      <c r="D165" s="88">
        <f t="shared" si="2"/>
        <v>0.08961303462</v>
      </c>
      <c r="E165" s="96">
        <v>2455.0</v>
      </c>
      <c r="F165" s="96">
        <v>220.0</v>
      </c>
    </row>
    <row r="166" ht="12.75" customHeight="1">
      <c r="A166" s="97" t="s">
        <v>128</v>
      </c>
      <c r="B166" s="95" t="s">
        <v>474</v>
      </c>
      <c r="C166" s="95" t="s">
        <v>475</v>
      </c>
      <c r="D166" s="88">
        <f t="shared" si="2"/>
        <v>0</v>
      </c>
      <c r="E166" s="96">
        <v>386.0</v>
      </c>
      <c r="F166" s="96">
        <v>0.0</v>
      </c>
    </row>
    <row r="167" ht="12.75" customHeight="1">
      <c r="A167" s="97" t="s">
        <v>128</v>
      </c>
      <c r="B167" s="95" t="s">
        <v>476</v>
      </c>
      <c r="C167" s="95" t="s">
        <v>477</v>
      </c>
      <c r="D167" s="88">
        <f t="shared" si="2"/>
        <v>0.7754901961</v>
      </c>
      <c r="E167" s="96">
        <v>1020.0</v>
      </c>
      <c r="F167" s="96">
        <v>791.0</v>
      </c>
    </row>
    <row r="168" ht="12.75" customHeight="1">
      <c r="A168" s="97" t="s">
        <v>128</v>
      </c>
      <c r="B168" s="95" t="s">
        <v>478</v>
      </c>
      <c r="C168" s="95" t="s">
        <v>479</v>
      </c>
      <c r="D168" s="88">
        <f t="shared" si="2"/>
        <v>0.2477876106</v>
      </c>
      <c r="E168" s="96">
        <v>113.0</v>
      </c>
      <c r="F168" s="96">
        <v>28.0</v>
      </c>
    </row>
    <row r="169" ht="12.75" customHeight="1">
      <c r="A169" s="97" t="s">
        <v>128</v>
      </c>
      <c r="B169" s="95" t="s">
        <v>480</v>
      </c>
      <c r="C169" s="95" t="s">
        <v>481</v>
      </c>
      <c r="D169" s="88">
        <f t="shared" si="2"/>
        <v>0</v>
      </c>
      <c r="E169" s="96">
        <v>269.0</v>
      </c>
      <c r="F169" s="96">
        <v>0.0</v>
      </c>
    </row>
    <row r="170" ht="12.75" customHeight="1">
      <c r="A170" s="97" t="s">
        <v>128</v>
      </c>
      <c r="B170" s="95" t="s">
        <v>482</v>
      </c>
      <c r="C170" s="95" t="s">
        <v>483</v>
      </c>
      <c r="D170" s="88">
        <f t="shared" si="2"/>
        <v>0.1305326332</v>
      </c>
      <c r="E170" s="96">
        <v>1333.0</v>
      </c>
      <c r="F170" s="96">
        <v>174.0</v>
      </c>
    </row>
    <row r="171" ht="12.75" customHeight="1">
      <c r="A171" s="97" t="s">
        <v>128</v>
      </c>
      <c r="B171" s="95" t="s">
        <v>484</v>
      </c>
      <c r="C171" s="95" t="s">
        <v>485</v>
      </c>
      <c r="D171" s="88">
        <f t="shared" si="2"/>
        <v>0.7896181682</v>
      </c>
      <c r="E171" s="96">
        <v>8014.0</v>
      </c>
      <c r="F171" s="96">
        <v>6328.0</v>
      </c>
    </row>
    <row r="172" ht="12.75" customHeight="1">
      <c r="A172" s="97" t="s">
        <v>144</v>
      </c>
      <c r="B172" s="95" t="s">
        <v>486</v>
      </c>
      <c r="C172" s="95" t="s">
        <v>487</v>
      </c>
      <c r="D172" s="88">
        <f t="shared" si="2"/>
        <v>0</v>
      </c>
      <c r="E172" s="96">
        <v>83.0</v>
      </c>
      <c r="F172" s="96">
        <v>0.0</v>
      </c>
    </row>
    <row r="173" ht="12.75" customHeight="1">
      <c r="A173" s="97" t="s">
        <v>144</v>
      </c>
      <c r="B173" s="95" t="s">
        <v>488</v>
      </c>
      <c r="C173" s="95" t="s">
        <v>489</v>
      </c>
      <c r="D173" s="88">
        <f t="shared" si="2"/>
        <v>0</v>
      </c>
      <c r="E173" s="96">
        <v>178.0</v>
      </c>
      <c r="F173" s="96">
        <v>0.0</v>
      </c>
    </row>
    <row r="174" ht="12.75" customHeight="1">
      <c r="A174" s="97" t="s">
        <v>144</v>
      </c>
      <c r="B174" s="95" t="s">
        <v>490</v>
      </c>
      <c r="C174" s="95" t="s">
        <v>491</v>
      </c>
      <c r="D174" s="88">
        <f t="shared" si="2"/>
        <v>0</v>
      </c>
      <c r="E174" s="96">
        <v>42.0</v>
      </c>
      <c r="F174" s="96">
        <v>0.0</v>
      </c>
    </row>
    <row r="175" ht="12.75" customHeight="1">
      <c r="A175" s="97" t="s">
        <v>144</v>
      </c>
      <c r="B175" s="95" t="s">
        <v>492</v>
      </c>
      <c r="C175" s="95" t="s">
        <v>493</v>
      </c>
      <c r="D175" s="88">
        <f t="shared" si="2"/>
        <v>0</v>
      </c>
      <c r="E175" s="96">
        <v>1297.0</v>
      </c>
      <c r="F175" s="96">
        <v>0.0</v>
      </c>
    </row>
    <row r="176" ht="12.75" customHeight="1">
      <c r="A176" s="97" t="s">
        <v>144</v>
      </c>
      <c r="B176" s="95" t="s">
        <v>494</v>
      </c>
      <c r="C176" s="95" t="s">
        <v>495</v>
      </c>
      <c r="D176" s="88">
        <f t="shared" si="2"/>
        <v>0</v>
      </c>
      <c r="E176" s="96">
        <v>159.0</v>
      </c>
      <c r="F176" s="96">
        <v>0.0</v>
      </c>
    </row>
    <row r="177" ht="12.75" customHeight="1">
      <c r="A177" s="97" t="s">
        <v>144</v>
      </c>
      <c r="B177" s="95" t="s">
        <v>496</v>
      </c>
      <c r="C177" s="95" t="s">
        <v>497</v>
      </c>
      <c r="D177" s="88">
        <f t="shared" si="2"/>
        <v>0.2841698842</v>
      </c>
      <c r="E177" s="96">
        <v>1295.0</v>
      </c>
      <c r="F177" s="96">
        <v>368.0</v>
      </c>
    </row>
    <row r="178" ht="12.75" customHeight="1">
      <c r="A178" s="97" t="s">
        <v>144</v>
      </c>
      <c r="B178" s="95" t="s">
        <v>498</v>
      </c>
      <c r="C178" s="95" t="s">
        <v>499</v>
      </c>
      <c r="D178" s="88">
        <f t="shared" si="2"/>
        <v>0</v>
      </c>
      <c r="E178" s="96">
        <v>765.0</v>
      </c>
      <c r="F178" s="96">
        <v>0.0</v>
      </c>
    </row>
    <row r="179" ht="12.75" customHeight="1">
      <c r="A179" s="97" t="s">
        <v>144</v>
      </c>
      <c r="B179" s="95" t="s">
        <v>500</v>
      </c>
      <c r="C179" s="95" t="s">
        <v>501</v>
      </c>
      <c r="D179" s="88">
        <f t="shared" si="2"/>
        <v>0.1114115738</v>
      </c>
      <c r="E179" s="96">
        <v>3698.0</v>
      </c>
      <c r="F179" s="96">
        <v>412.0</v>
      </c>
    </row>
    <row r="180" ht="12.75" customHeight="1">
      <c r="A180" s="97" t="s">
        <v>144</v>
      </c>
      <c r="B180" s="95" t="s">
        <v>502</v>
      </c>
      <c r="C180" s="95" t="s">
        <v>503</v>
      </c>
      <c r="D180" s="88">
        <f t="shared" si="2"/>
        <v>0</v>
      </c>
      <c r="E180" s="96">
        <v>99.0</v>
      </c>
      <c r="F180" s="96">
        <v>0.0</v>
      </c>
    </row>
    <row r="181" ht="12.75" customHeight="1">
      <c r="A181" s="97" t="s">
        <v>144</v>
      </c>
      <c r="B181" s="95" t="s">
        <v>504</v>
      </c>
      <c r="C181" s="95" t="s">
        <v>505</v>
      </c>
      <c r="D181" s="88">
        <f t="shared" si="2"/>
        <v>1.775693405</v>
      </c>
      <c r="E181" s="96">
        <v>8689.0</v>
      </c>
      <c r="F181" s="96">
        <v>15429.0</v>
      </c>
    </row>
    <row r="182" ht="12.75" customHeight="1">
      <c r="A182" s="97" t="s">
        <v>145</v>
      </c>
      <c r="B182" s="95" t="s">
        <v>506</v>
      </c>
      <c r="C182" s="95" t="s">
        <v>507</v>
      </c>
      <c r="D182" s="88">
        <f t="shared" si="2"/>
        <v>0</v>
      </c>
      <c r="E182" s="96">
        <v>155.0</v>
      </c>
      <c r="F182" s="96">
        <v>0.0</v>
      </c>
    </row>
    <row r="183" ht="12.75" customHeight="1">
      <c r="A183" s="97" t="s">
        <v>145</v>
      </c>
      <c r="B183" s="95" t="s">
        <v>508</v>
      </c>
      <c r="C183" s="95" t="s">
        <v>509</v>
      </c>
      <c r="D183" s="88">
        <f t="shared" si="2"/>
        <v>0</v>
      </c>
      <c r="E183" s="96">
        <v>518.0</v>
      </c>
      <c r="F183" s="96">
        <v>0.0</v>
      </c>
    </row>
    <row r="184" ht="12.75" customHeight="1">
      <c r="A184" s="97" t="s">
        <v>145</v>
      </c>
      <c r="B184" s="95" t="s">
        <v>510</v>
      </c>
      <c r="C184" s="95" t="s">
        <v>511</v>
      </c>
      <c r="D184" s="88">
        <f t="shared" si="2"/>
        <v>0</v>
      </c>
      <c r="E184" s="96">
        <v>123.0</v>
      </c>
      <c r="F184" s="96">
        <v>0.0</v>
      </c>
    </row>
    <row r="185" ht="12.75" customHeight="1">
      <c r="A185" s="97" t="s">
        <v>145</v>
      </c>
      <c r="B185" s="95" t="s">
        <v>512</v>
      </c>
      <c r="C185" s="95" t="s">
        <v>513</v>
      </c>
      <c r="D185" s="88">
        <f t="shared" si="2"/>
        <v>0</v>
      </c>
      <c r="E185" s="96">
        <v>1019.0</v>
      </c>
      <c r="F185" s="96">
        <v>0.0</v>
      </c>
    </row>
    <row r="186" ht="12.75" customHeight="1">
      <c r="A186" s="97" t="s">
        <v>145</v>
      </c>
      <c r="B186" s="95" t="s">
        <v>514</v>
      </c>
      <c r="C186" s="95" t="s">
        <v>515</v>
      </c>
      <c r="D186" s="88">
        <f t="shared" si="2"/>
        <v>0</v>
      </c>
      <c r="E186" s="96">
        <v>200.0</v>
      </c>
      <c r="F186" s="96">
        <v>0.0</v>
      </c>
    </row>
    <row r="187" ht="12.75" customHeight="1">
      <c r="A187" s="97" t="s">
        <v>145</v>
      </c>
      <c r="B187" s="95" t="s">
        <v>516</v>
      </c>
      <c r="C187" s="95" t="s">
        <v>517</v>
      </c>
      <c r="D187" s="88">
        <f t="shared" si="2"/>
        <v>0</v>
      </c>
      <c r="E187" s="96">
        <v>611.0</v>
      </c>
      <c r="F187" s="96">
        <v>0.0</v>
      </c>
    </row>
    <row r="188" ht="12.75" customHeight="1">
      <c r="A188" s="97" t="s">
        <v>145</v>
      </c>
      <c r="B188" s="95" t="s">
        <v>518</v>
      </c>
      <c r="C188" s="95" t="s">
        <v>519</v>
      </c>
      <c r="D188" s="88">
        <f t="shared" si="2"/>
        <v>0</v>
      </c>
      <c r="E188" s="96">
        <v>4673.0</v>
      </c>
      <c r="F188" s="96">
        <v>0.0</v>
      </c>
    </row>
    <row r="189" ht="12.75" customHeight="1">
      <c r="A189" s="97" t="s">
        <v>145</v>
      </c>
      <c r="B189" s="95" t="s">
        <v>520</v>
      </c>
      <c r="C189" s="95" t="s">
        <v>521</v>
      </c>
      <c r="D189" s="88">
        <f t="shared" si="2"/>
        <v>0</v>
      </c>
      <c r="E189" s="96">
        <v>221.0</v>
      </c>
      <c r="F189" s="96">
        <v>0.0</v>
      </c>
    </row>
    <row r="190" ht="12.75" customHeight="1">
      <c r="A190" s="97" t="s">
        <v>145</v>
      </c>
      <c r="B190" s="95" t="s">
        <v>522</v>
      </c>
      <c r="C190" s="95" t="s">
        <v>523</v>
      </c>
      <c r="D190" s="88">
        <f t="shared" si="2"/>
        <v>0</v>
      </c>
      <c r="E190" s="96">
        <v>283.0</v>
      </c>
      <c r="F190" s="96">
        <v>0.0</v>
      </c>
    </row>
    <row r="191" ht="12.75" customHeight="1">
      <c r="A191" s="97" t="s">
        <v>145</v>
      </c>
      <c r="B191" s="95" t="s">
        <v>524</v>
      </c>
      <c r="C191" s="95" t="s">
        <v>525</v>
      </c>
      <c r="D191" s="88">
        <f t="shared" si="2"/>
        <v>0</v>
      </c>
      <c r="E191" s="96">
        <v>3.0</v>
      </c>
      <c r="F191" s="96">
        <v>0.0</v>
      </c>
    </row>
    <row r="192" ht="12.75" customHeight="1">
      <c r="A192" s="97" t="s">
        <v>145</v>
      </c>
      <c r="B192" s="95" t="s">
        <v>526</v>
      </c>
      <c r="C192" s="95" t="s">
        <v>527</v>
      </c>
      <c r="D192" s="88">
        <f t="shared" si="2"/>
        <v>0</v>
      </c>
      <c r="E192" s="96">
        <v>27.0</v>
      </c>
      <c r="F192" s="96">
        <v>0.0</v>
      </c>
    </row>
    <row r="193" ht="12.75" customHeight="1">
      <c r="A193" s="97" t="s">
        <v>148</v>
      </c>
      <c r="B193" s="95" t="s">
        <v>528</v>
      </c>
      <c r="C193" s="95" t="s">
        <v>529</v>
      </c>
      <c r="D193" s="88">
        <f t="shared" si="2"/>
        <v>3.065861536</v>
      </c>
      <c r="E193" s="96">
        <v>7121.0</v>
      </c>
      <c r="F193" s="96">
        <v>21832.0</v>
      </c>
    </row>
    <row r="194" ht="12.75" customHeight="1">
      <c r="A194" s="97" t="s">
        <v>148</v>
      </c>
      <c r="B194" s="95" t="s">
        <v>530</v>
      </c>
      <c r="C194" s="95" t="s">
        <v>531</v>
      </c>
      <c r="D194" s="88">
        <f t="shared" si="2"/>
        <v>1.857142857</v>
      </c>
      <c r="E194" s="96">
        <v>9919.0</v>
      </c>
      <c r="F194" s="96">
        <v>18421.0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75"/>
    <col customWidth="1" min="2" max="2" width="15.88"/>
    <col customWidth="1" min="3" max="3" width="10.38"/>
    <col customWidth="1" min="4" max="4" width="99.38"/>
  </cols>
  <sheetData>
    <row r="1" ht="12.75" customHeight="1">
      <c r="A1" s="98" t="s">
        <v>532</v>
      </c>
      <c r="B1" s="99" t="s">
        <v>533</v>
      </c>
      <c r="C1" s="99" t="s">
        <v>534</v>
      </c>
      <c r="D1" s="98" t="s">
        <v>535</v>
      </c>
    </row>
    <row r="2" ht="12.75" customHeight="1">
      <c r="A2" s="100">
        <v>44211.0</v>
      </c>
      <c r="B2" s="101" t="s">
        <v>536</v>
      </c>
      <c r="C2" s="102">
        <v>2020.0</v>
      </c>
      <c r="D2" s="103" t="s">
        <v>537</v>
      </c>
    </row>
    <row r="3" ht="12.75" customHeight="1">
      <c r="A3" s="100">
        <v>44351.0</v>
      </c>
      <c r="B3" s="101" t="s">
        <v>538</v>
      </c>
      <c r="C3" s="102" t="s">
        <v>8</v>
      </c>
      <c r="D3" s="103" t="s">
        <v>539</v>
      </c>
    </row>
    <row r="4" ht="12.75" customHeight="1">
      <c r="A4" s="100">
        <v>44392.0</v>
      </c>
      <c r="B4" s="101" t="s">
        <v>540</v>
      </c>
      <c r="C4" s="102" t="s">
        <v>541</v>
      </c>
      <c r="D4" s="103" t="s">
        <v>542</v>
      </c>
    </row>
    <row r="5" ht="12.75" customHeight="1">
      <c r="A5" s="104"/>
      <c r="B5" s="105"/>
      <c r="C5" s="106"/>
      <c r="D5" s="107"/>
    </row>
    <row r="6" ht="12.75" customHeight="1">
      <c r="A6" s="104"/>
      <c r="B6" s="105"/>
      <c r="C6" s="106"/>
      <c r="D6" s="107"/>
    </row>
    <row r="7" ht="12.75" customHeight="1">
      <c r="A7" s="104"/>
      <c r="B7" s="105"/>
      <c r="C7" s="106"/>
      <c r="D7" s="107"/>
    </row>
    <row r="8" ht="12.75" customHeight="1">
      <c r="A8" s="104"/>
      <c r="B8" s="105"/>
      <c r="C8" s="106"/>
      <c r="D8" s="108"/>
    </row>
    <row r="9" ht="12.75" customHeight="1">
      <c r="A9" s="109"/>
      <c r="B9" s="105"/>
      <c r="C9" s="110"/>
      <c r="D9" s="111"/>
    </row>
  </sheetData>
  <drawing r:id="rId1"/>
</worksheet>
</file>