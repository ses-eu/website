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T_SU_CZ" sheetId="1" r:id="rId4"/>
    <sheet state="visible" name="Change Log" sheetId="2" r:id="rId5"/>
  </sheets>
  <definedNames/>
  <calcPr/>
</workbook>
</file>

<file path=xl/sharedStrings.xml><?xml version="1.0" encoding="utf-8"?>
<sst xmlns="http://schemas.openxmlformats.org/spreadsheetml/2006/main" count="62" uniqueCount="57">
  <si>
    <t>Data source</t>
  </si>
  <si>
    <t>EUROCONTROL</t>
  </si>
  <si>
    <t>Period Start</t>
  </si>
  <si>
    <t>Meta data</t>
  </si>
  <si>
    <t>N/A</t>
  </si>
  <si>
    <t xml:space="preserve"> </t>
  </si>
  <si>
    <t>Release date</t>
  </si>
  <si>
    <t>Period End</t>
  </si>
  <si>
    <t>Contact</t>
  </si>
  <si>
    <t>pru-support@eurocontrol.int</t>
  </si>
  <si>
    <t xml:space="preserve">  </t>
  </si>
  <si>
    <t>Period: JAN-MAR</t>
  </si>
  <si>
    <t>SOURCE: CRCO</t>
  </si>
  <si>
    <t>En-route service units</t>
  </si>
  <si>
    <t>Actual [2025]</t>
  </si>
  <si>
    <t>Daily ER SU [2025]</t>
  </si>
  <si>
    <t>Actual [2026]</t>
  </si>
  <si>
    <t>Daily ER SU [actual, 2026]</t>
  </si>
  <si>
    <t>26/25 (%)</t>
  </si>
  <si>
    <t>Det. [2026]</t>
  </si>
  <si>
    <t>Daily ER SU [2026]</t>
  </si>
  <si>
    <t>act./det.(%)</t>
  </si>
  <si>
    <t>SES Area</t>
  </si>
  <si>
    <t>Austria</t>
  </si>
  <si>
    <t>Belgium-Luxembourg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</si>
  <si>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</si>
  <si>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</si>
  <si>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</si>
  <si>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</si>
  <si>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</si>
  <si>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</si>
  <si>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</si>
  <si>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</si>
  <si>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</si>
  <si>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</si>
  <si>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</si>
  <si>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</si>
  <si>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</si>
  <si>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</si>
  <si>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</si>
  <si>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Malta</t>
  </si>
  <si>
    <t>Netherlands</t>
  </si>
  <si>
    <t>Norway</t>
  </si>
  <si>
    <t>Poland</t>
  </si>
  <si>
    <t>Portugal Continental</t>
  </si>
  <si>
    <t>Romania</t>
  </si>
  <si>
    <t>Slovakia</t>
  </si>
  <si>
    <t>Slovenia</t>
  </si>
  <si>
    <t>Spain Canarias</t>
  </si>
  <si>
    <t>Spain Continental</t>
  </si>
  <si>
    <t>Sweden</t>
  </si>
  <si>
    <t>Switzerland</t>
  </si>
  <si>
    <t>Change date</t>
  </si>
  <si>
    <t>Entity</t>
  </si>
  <si>
    <t>Period</t>
  </si>
  <si>
    <t>Comment</t>
  </si>
  <si>
    <t xml:space="preserve">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</si>
</sst>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&quot; &quot;mmm&quot; &quot;yyyy"/>
    <numFmt numFmtId="165" formatCode="d mmm yyyy"/>
    <numFmt numFmtId="166" formatCode="d mmm. yyyy"/>
    <numFmt numFmtId="167" formatCode="m/d/yyyy"/>
    <numFmt numFmtId="168" formatCode="0.0%"/>
  </numFmts>
  <fonts count="15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b/>
      <sz val="10.0"/>
      <color rgb="FF396EA2"/>
      <name val="Calibri"/>
    </font>
    <font>
      <sz val="10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u/>
      <sz val="10.0"/>
      <color rgb="FF396EA2"/>
      <name val="Calibri"/>
    </font>
    <font>
      <u/>
      <sz val="10.0"/>
      <color rgb="FF396EA2"/>
      <name val="Calibri"/>
    </font>
    <font>
      <sz val="10.0"/>
      <color rgb="FF000000"/>
      <name val="Calibri"/>
    </font>
    <font>
      <b/>
      <sz val="8.0"/>
      <color rgb="FFC00000"/>
      <name val="Calibri"/>
    </font>
    <font>
      <sz val="10.0"/>
      <color rgb="FFF3F3F3"/>
      <name val="Calibri"/>
    </font>
    <font>
      <sz val="9.0"/>
      <color rgb="FF000000"/>
      <name val="Calibri"/>
    </font>
    <font>
      <sz val="9.0"/>
      <color rgb="FFF3F3F3"/>
      <name val="Calibri"/>
    </font>
    <font>
      <sz val="9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D9D9D9"/>
        <bgColor rgb="FFD9D9D9"/>
      </patternFill>
    </fill>
  </fills>
  <borders count="10">
    <border/>
    <border>
      <left/>
      <right/>
      <top/>
      <bottom/>
    </border>
    <border>
      <top/>
      <bottom/>
    </border>
    <border>
      <right/>
      <top/>
      <bottom/>
    </border>
    <border>
      <left/>
      <right/>
      <top/>
      <bottom style="thin">
        <color rgb="FF000000"/>
      </bottom>
    </border>
    <border>
      <right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/>
      <right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1" fillId="3" fontId="2" numFmtId="49" xfId="0" applyAlignment="1" applyBorder="1" applyFill="1" applyFont="1" applyNumberFormat="1">
      <alignment horizontal="left" readingOrder="0" shrinkToFit="0" vertical="bottom" wrapText="0"/>
    </xf>
    <xf borderId="2" fillId="2" fontId="1" numFmtId="0" xfId="0" applyAlignment="1" applyBorder="1" applyFont="1">
      <alignment shrinkToFit="0" vertical="bottom" wrapText="0"/>
    </xf>
    <xf borderId="0" fillId="3" fontId="2" numFmtId="164" xfId="0" applyAlignment="1" applyFont="1" applyNumberFormat="1">
      <alignment horizontal="left" readingOrder="0" shrinkToFit="0" wrapText="0"/>
    </xf>
    <xf borderId="3" fillId="2" fontId="3" numFmtId="0" xfId="0" applyAlignment="1" applyBorder="1" applyFont="1">
      <alignment horizontal="left" shrinkToFit="0" wrapText="0"/>
    </xf>
    <xf borderId="1" fillId="3" fontId="4" numFmtId="0" xfId="0" applyAlignment="1" applyBorder="1" applyFont="1">
      <alignment horizontal="left" readingOrder="0" shrinkToFit="0" wrapText="0"/>
    </xf>
    <xf borderId="0" fillId="3" fontId="4" numFmtId="0" xfId="0" applyAlignment="1" applyFont="1">
      <alignment horizontal="left" readingOrder="0" shrinkToFit="0" wrapText="0"/>
    </xf>
    <xf borderId="4" fillId="2" fontId="1" numFmtId="0" xfId="0" applyAlignment="1" applyBorder="1" applyFont="1">
      <alignment shrinkToFit="0" wrapText="0"/>
    </xf>
    <xf borderId="4" fillId="0" fontId="5" numFmtId="165" xfId="0" applyAlignment="1" applyBorder="1" applyFont="1" applyNumberFormat="1">
      <alignment horizontal="left" readingOrder="0" vertical="bottom"/>
    </xf>
    <xf borderId="5" fillId="2" fontId="1" numFmtId="0" xfId="0" applyAlignment="1" applyBorder="1" applyFont="1">
      <alignment shrinkToFit="0" vertical="bottom" wrapText="0"/>
    </xf>
    <xf borderId="6" fillId="3" fontId="2" numFmtId="166" xfId="0" applyAlignment="1" applyBorder="1" applyFont="1" applyNumberFormat="1">
      <alignment horizontal="left" readingOrder="0" vertical="bottom"/>
    </xf>
    <xf borderId="4" fillId="2" fontId="3" numFmtId="0" xfId="0" applyAlignment="1" applyBorder="1" applyFont="1">
      <alignment horizontal="left" shrinkToFit="0" wrapText="0"/>
    </xf>
    <xf borderId="4" fillId="3" fontId="6" numFmtId="0" xfId="0" applyAlignment="1" applyBorder="1" applyFont="1">
      <alignment horizontal="left" readingOrder="0" shrinkToFit="0" wrapText="0"/>
    </xf>
    <xf borderId="0" fillId="3" fontId="7" numFmtId="167" xfId="0" applyAlignment="1" applyFont="1" applyNumberFormat="1">
      <alignment horizontal="left" shrinkToFit="0" wrapText="0"/>
    </xf>
    <xf borderId="0" fillId="3" fontId="8" numFmtId="0" xfId="0" applyAlignment="1" applyFont="1">
      <alignment horizontal="left" readingOrder="0" shrinkToFit="0" wrapText="0"/>
    </xf>
    <xf borderId="1" fillId="3" fontId="9" numFmtId="0" xfId="0" applyAlignment="1" applyBorder="1" applyFont="1">
      <alignment shrinkToFit="0" wrapText="1"/>
    </xf>
    <xf borderId="1" fillId="3" fontId="9" numFmtId="0" xfId="0" applyAlignment="1" applyBorder="1" applyFont="1">
      <alignment readingOrder="0" shrinkToFit="0" wrapText="1"/>
    </xf>
    <xf borderId="0" fillId="3" fontId="9" numFmtId="0" xfId="0" applyAlignment="1" applyFont="1">
      <alignment shrinkToFit="0" wrapText="1"/>
    </xf>
    <xf borderId="0" fillId="3" fontId="9" numFmtId="0" xfId="0" applyAlignment="1" applyFont="1">
      <alignment readingOrder="0" shrinkToFit="0" wrapText="1"/>
    </xf>
    <xf borderId="7" fillId="3" fontId="10" numFmtId="0" xfId="0" applyAlignment="1" applyBorder="1" applyFont="1">
      <alignment horizontal="left" readingOrder="0" shrinkToFit="0" vertical="center" wrapText="0"/>
    </xf>
    <xf borderId="7" fillId="3" fontId="10" numFmtId="0" xfId="0" applyAlignment="1" applyBorder="1" applyFont="1">
      <alignment horizontal="center" readingOrder="0" shrinkToFit="0" vertical="center" wrapText="0"/>
    </xf>
    <xf borderId="7" fillId="3" fontId="10" numFmtId="0" xfId="0" applyAlignment="1" applyBorder="1" applyFont="1">
      <alignment horizontal="center" shrinkToFit="0" vertical="center" wrapText="0"/>
    </xf>
    <xf borderId="7" fillId="4" fontId="11" numFmtId="0" xfId="0" applyAlignment="1" applyBorder="1" applyFill="1" applyFont="1">
      <alignment horizontal="center" readingOrder="0" shrinkToFit="0" vertical="center" wrapText="1"/>
    </xf>
    <xf borderId="7" fillId="4" fontId="11" numFmtId="49" xfId="0" applyAlignment="1" applyBorder="1" applyFont="1" applyNumberFormat="1">
      <alignment horizontal="center" readingOrder="0" shrinkToFit="0" vertical="center" wrapText="1"/>
    </xf>
    <xf borderId="7" fillId="3" fontId="12" numFmtId="0" xfId="0" applyAlignment="1" applyBorder="1" applyFont="1">
      <alignment readingOrder="0" shrinkToFit="0" vertical="center" wrapText="0"/>
    </xf>
    <xf borderId="7" fillId="5" fontId="12" numFmtId="3" xfId="0" applyAlignment="1" applyBorder="1" applyFill="1" applyFont="1" applyNumberFormat="1">
      <alignment horizontal="right" readingOrder="0" shrinkToFit="0" vertical="center" wrapText="0"/>
    </xf>
    <xf borderId="7" fillId="5" fontId="9" numFmtId="168" xfId="0" applyAlignment="1" applyBorder="1" applyFont="1" applyNumberFormat="1">
      <alignment horizontal="right" shrinkToFit="0" wrapText="1"/>
    </xf>
    <xf borderId="7" fillId="3" fontId="12" numFmtId="3" xfId="0" applyAlignment="1" applyBorder="1" applyFont="1" applyNumberFormat="1">
      <alignment horizontal="right" readingOrder="0" shrinkToFit="0" vertical="center" wrapText="0"/>
    </xf>
    <xf borderId="0" fillId="3" fontId="12" numFmtId="0" xfId="0" applyAlignment="1" applyFont="1">
      <alignment readingOrder="0" shrinkToFit="0" vertical="center" wrapText="0"/>
    </xf>
    <xf borderId="8" fillId="4" fontId="13" numFmtId="0" xfId="0" applyAlignment="1" applyBorder="1" applyFont="1">
      <alignment shrinkToFit="0" wrapText="0"/>
    </xf>
    <xf borderId="8" fillId="4" fontId="13" numFmtId="0" xfId="0" applyAlignment="1" applyBorder="1" applyFont="1">
      <alignment horizontal="center" shrinkToFit="0" wrapText="0"/>
    </xf>
    <xf borderId="9" fillId="3" fontId="14" numFmtId="164" xfId="0" applyAlignment="1" applyBorder="1" applyFont="1" applyNumberFormat="1">
      <alignment horizontal="left" readingOrder="0" shrinkToFit="0" vertical="bottom" wrapText="0"/>
    </xf>
    <xf borderId="0" fillId="3" fontId="12" numFmtId="0" xfId="0" applyAlignment="1" applyFont="1">
      <alignment readingOrder="0" shrinkToFit="0" vertical="center" wrapText="1"/>
    </xf>
    <xf borderId="0" fillId="3" fontId="12" numFmtId="0" xfId="0" applyAlignment="1" applyFont="1">
      <alignment horizontal="center" readingOrder="0" shrinkToFit="0" vertical="center" wrapText="0"/>
    </xf>
    <xf borderId="0" fillId="3" fontId="1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7.63"/>
    <col customWidth="1" min="2" max="2" width="18.0"/>
    <col customWidth="1" min="3" max="3" width="11.5"/>
    <col customWidth="1" min="4" max="4" width="12.63"/>
    <col customWidth="1" min="5" max="5" width="13.5"/>
    <col customWidth="1" min="6" max="6" width="7.88"/>
    <col customWidth="1" min="7" max="7" width="13.88"/>
    <col customWidth="1" min="8" max="8" width="12.13"/>
    <col customWidth="1" min="9" max="9" width="11.25"/>
  </cols>
  <sheetData>
    <row r="1" ht="12.75" customHeight="1">
      <c r="A1" s="1" t="s">
        <v>0</v>
      </c>
      <c r="B1" s="2" t="s">
        <v>1</v>
      </c>
      <c r="C1" s="3" t="s">
        <v>2</v>
      </c>
      <c r="D1" s="4">
        <v>45658.0</v>
      </c>
      <c r="E1" s="5" t="s">
        <v>3</v>
      </c>
      <c r="F1" s="6" t="s">
        <v>4</v>
      </c>
      <c r="G1" s="7" t="s">
        <v>5</v>
      </c>
      <c r="H1" s="7" t="s">
        <v>5</v>
      </c>
      <c r="I1" s="7" t="s">
        <v>5</v>
      </c>
    </row>
    <row r="2" ht="12.75" customHeight="1">
      <c r="A2" s="8" t="s">
        <v>6</v>
      </c>
      <c r="B2" s="9">
        <v>46128.0</v>
      </c>
      <c r="C2" s="10" t="s">
        <v>7</v>
      </c>
      <c r="D2" s="11">
        <v>46112.0</v>
      </c>
      <c r="E2" s="12" t="s">
        <v>8</v>
      </c>
      <c r="F2" s="13" t="s">
        <v>9</v>
      </c>
      <c r="G2" s="14"/>
      <c r="H2" s="15" t="s">
        <v>5</v>
      </c>
      <c r="I2" s="14"/>
    </row>
    <row r="3" ht="12.75" customHeight="1">
      <c r="A3" s="16"/>
      <c r="B3" s="16"/>
      <c r="C3" s="16"/>
      <c r="D3" s="17" t="s">
        <v>5</v>
      </c>
      <c r="E3" s="16"/>
      <c r="F3" s="17" t="s">
        <v>10</v>
      </c>
      <c r="G3" s="18"/>
      <c r="H3" s="19" t="s">
        <v>5</v>
      </c>
      <c r="I3" s="18"/>
    </row>
    <row r="4" ht="13.5" customHeight="1">
      <c r="A4" s="20" t="s">
        <v>11</v>
      </c>
      <c r="B4" s="21" t="s">
        <v>12</v>
      </c>
      <c r="C4" s="21">
        <v>90.0</v>
      </c>
      <c r="D4" s="22"/>
      <c r="E4" s="21">
        <v>90.0</v>
      </c>
      <c r="F4" s="22"/>
      <c r="G4" s="22"/>
      <c r="H4" s="21">
        <v>90.0</v>
      </c>
      <c r="I4" s="22"/>
    </row>
    <row r="5" ht="25.5" customHeight="1">
      <c r="A5" s="23" t="s">
        <v>13</v>
      </c>
      <c r="B5" s="23" t="s">
        <v>14</v>
      </c>
      <c r="C5" s="24" t="s">
        <v>15</v>
      </c>
      <c r="D5" s="23" t="s">
        <v>16</v>
      </c>
      <c r="E5" s="23" t="s">
        <v>17</v>
      </c>
      <c r="F5" s="23" t="s">
        <v>18</v>
      </c>
      <c r="G5" s="23" t="s">
        <v>19</v>
      </c>
      <c r="H5" s="23" t="s">
        <v>20</v>
      </c>
      <c r="I5" s="23" t="s">
        <v>21</v>
      </c>
    </row>
    <row r="6" ht="12.75" customHeight="1">
      <c r="A6" s="25" t="s">
        <v>22</v>
      </c>
      <c r="B6" s="26">
        <f>sum(B7:B35)</f>
        <v>28059410</v>
      </c>
      <c r="C6" s="26">
        <f t="shared" ref="C6:C35" si="1">B6/C$4</f>
        <v>311771.2222</v>
      </c>
      <c r="D6" s="26">
        <f>sum(D7:D35)</f>
        <v>29066317</v>
      </c>
      <c r="E6" s="26">
        <f t="shared" ref="E6:E35" si="2">D6/E$4</f>
        <v>322959.0778</v>
      </c>
      <c r="F6" s="27">
        <f t="shared" ref="F6:F35" si="3">E6/C6-1</f>
        <v>0.03588482438</v>
      </c>
      <c r="G6" s="26">
        <f>sum(G7:G35)</f>
        <v>28442244</v>
      </c>
      <c r="H6" s="26">
        <f t="shared" ref="H6:H35" si="4">G6/H$4</f>
        <v>316024.9333</v>
      </c>
      <c r="I6" s="27">
        <f t="shared" ref="I6:I35" si="5">D6/G6-1</f>
        <v>0.02194176381</v>
      </c>
    </row>
    <row r="7" ht="12.75" customHeight="1">
      <c r="A7" s="25" t="s">
        <v>23</v>
      </c>
      <c r="B7" s="28">
        <v>888071.0</v>
      </c>
      <c r="C7" s="26">
        <f t="shared" si="1"/>
        <v>9867.455556</v>
      </c>
      <c r="D7" s="28">
        <v>912457.0</v>
      </c>
      <c r="E7" s="26">
        <f t="shared" si="2"/>
        <v>10138.41111</v>
      </c>
      <c r="F7" s="27">
        <f t="shared" si="3"/>
        <v>0.02745951619</v>
      </c>
      <c r="G7" s="28">
        <v>826750.0</v>
      </c>
      <c r="H7" s="26">
        <f t="shared" si="4"/>
        <v>9186.111111</v>
      </c>
      <c r="I7" s="27">
        <f t="shared" si="5"/>
        <v>0.1036673722</v>
      </c>
    </row>
    <row r="8" ht="12.75" customHeight="1">
      <c r="A8" s="25" t="s">
        <v>24</v>
      </c>
      <c r="B8" s="28">
        <v>592148.0</v>
      </c>
      <c r="C8" s="26">
        <f t="shared" si="1"/>
        <v>6579.422222</v>
      </c>
      <c r="D8" s="28">
        <v>578670.0</v>
      </c>
      <c r="E8" s="26">
        <f t="shared" si="2"/>
        <v>6429.666667</v>
      </c>
      <c r="F8" s="27">
        <f t="shared" si="3"/>
        <v>-0.02276120159</v>
      </c>
      <c r="G8" s="28">
        <v>601882.0</v>
      </c>
      <c r="H8" s="26">
        <f t="shared" si="4"/>
        <v>6687.577778</v>
      </c>
      <c r="I8" s="27">
        <f t="shared" si="5"/>
        <v>-0.03856569892</v>
      </c>
    </row>
    <row r="9" ht="12.75" customHeight="1">
      <c r="A9" s="25" t="s">
        <v>25</v>
      </c>
      <c r="B9" s="28">
        <v>1102508.0</v>
      </c>
      <c r="C9" s="26">
        <f t="shared" si="1"/>
        <v>12250.08889</v>
      </c>
      <c r="D9" s="28">
        <v>1053968.0</v>
      </c>
      <c r="E9" s="26">
        <f t="shared" si="2"/>
        <v>11710.75556</v>
      </c>
      <c r="F9" s="27">
        <f t="shared" si="3"/>
        <v>-0.04402689141</v>
      </c>
      <c r="G9" s="28">
        <v>1108294.0</v>
      </c>
      <c r="H9" s="26">
        <f t="shared" si="4"/>
        <v>12314.37778</v>
      </c>
      <c r="I9" s="27">
        <f t="shared" si="5"/>
        <v>-0.04901767942</v>
      </c>
    </row>
    <row r="10" ht="12.75" customHeight="1">
      <c r="A10" s="25" t="s">
        <v>26</v>
      </c>
      <c r="B10" s="28">
        <v>526183.0</v>
      </c>
      <c r="C10" s="26">
        <f t="shared" si="1"/>
        <v>5846.477778</v>
      </c>
      <c r="D10" s="28">
        <v>586410.0</v>
      </c>
      <c r="E10" s="26">
        <f t="shared" si="2"/>
        <v>6515.666667</v>
      </c>
      <c r="F10" s="27">
        <f t="shared" si="3"/>
        <v>0.1144601783</v>
      </c>
      <c r="G10" s="28">
        <v>518497.0</v>
      </c>
      <c r="H10" s="26">
        <f t="shared" si="4"/>
        <v>5761.077778</v>
      </c>
      <c r="I10" s="27">
        <f t="shared" si="5"/>
        <v>0.1309805071</v>
      </c>
    </row>
    <row r="11" ht="12.75" customHeight="1">
      <c r="A11" s="25" t="s">
        <v>27</v>
      </c>
      <c r="B11" s="28">
        <v>433086.0</v>
      </c>
      <c r="C11" s="26">
        <f t="shared" si="1"/>
        <v>4812.066667</v>
      </c>
      <c r="D11" s="28">
        <v>500404.0</v>
      </c>
      <c r="E11" s="26">
        <f t="shared" si="2"/>
        <v>5560.044444</v>
      </c>
      <c r="F11" s="27">
        <f t="shared" si="3"/>
        <v>0.15543795</v>
      </c>
      <c r="G11" s="28">
        <v>411226.0</v>
      </c>
      <c r="H11" s="26">
        <f t="shared" si="4"/>
        <v>4569.177778</v>
      </c>
      <c r="I11" s="27">
        <f t="shared" si="5"/>
        <v>0.2168588562</v>
      </c>
    </row>
    <row r="12" ht="12.75" customHeight="1">
      <c r="A12" s="25" t="s">
        <v>28</v>
      </c>
      <c r="B12" s="28">
        <v>468804.0</v>
      </c>
      <c r="C12" s="26">
        <f t="shared" si="1"/>
        <v>5208.933333</v>
      </c>
      <c r="D12" s="28">
        <v>501970.0</v>
      </c>
      <c r="E12" s="26">
        <f t="shared" si="2"/>
        <v>5577.444444</v>
      </c>
      <c r="F12" s="27">
        <f t="shared" si="3"/>
        <v>0.0707459834</v>
      </c>
      <c r="G12" s="28">
        <v>479112.0</v>
      </c>
      <c r="H12" s="26">
        <f t="shared" si="4"/>
        <v>5323.466667</v>
      </c>
      <c r="I12" s="27">
        <f t="shared" si="5"/>
        <v>0.04770909516</v>
      </c>
    </row>
    <row r="13" ht="12.75" customHeight="1">
      <c r="A13" s="25" t="s">
        <v>29</v>
      </c>
      <c r="B13" s="28">
        <v>338677.0</v>
      </c>
      <c r="C13" s="26">
        <f t="shared" si="1"/>
        <v>3763.077778</v>
      </c>
      <c r="D13" s="28">
        <v>343889.0</v>
      </c>
      <c r="E13" s="26">
        <f t="shared" si="2"/>
        <v>3820.988889</v>
      </c>
      <c r="F13" s="27">
        <f t="shared" si="3"/>
        <v>0.01538929422</v>
      </c>
      <c r="G13" s="28">
        <v>365623.0</v>
      </c>
      <c r="H13" s="26">
        <f t="shared" si="4"/>
        <v>4062.477778</v>
      </c>
      <c r="I13" s="27">
        <f t="shared" si="5"/>
        <v>-0.05944374397</v>
      </c>
    </row>
    <row r="14" ht="12.75" customHeight="1">
      <c r="A14" s="25" t="s">
        <v>30</v>
      </c>
      <c r="B14" s="28">
        <v>133134.0</v>
      </c>
      <c r="C14" s="26">
        <f t="shared" si="1"/>
        <v>1479.266667</v>
      </c>
      <c r="D14" s="28">
        <v>145318.0</v>
      </c>
      <c r="E14" s="26">
        <f t="shared" si="2"/>
        <v>1614.644444</v>
      </c>
      <c r="F14" s="27">
        <f t="shared" si="3"/>
        <v>0.09151681764</v>
      </c>
      <c r="G14" s="28">
        <v>128821.0</v>
      </c>
      <c r="H14" s="26">
        <f t="shared" si="4"/>
        <v>1431.344444</v>
      </c>
      <c r="I14" s="27">
        <f t="shared" si="5"/>
        <v>0.1280614186</v>
      </c>
    </row>
    <row r="15" ht="12.75" customHeight="1">
      <c r="A15" s="25" t="s">
        <v>31</v>
      </c>
      <c r="B15" s="28">
        <v>175932.0</v>
      </c>
      <c r="C15" s="26">
        <f t="shared" si="1"/>
        <v>1954.8</v>
      </c>
      <c r="D15" s="28">
        <v>180441.0</v>
      </c>
      <c r="E15" s="26">
        <f t="shared" si="2"/>
        <v>2004.9</v>
      </c>
      <c r="F15" s="27">
        <f t="shared" si="3"/>
        <v>0.02562922038</v>
      </c>
      <c r="G15" s="28">
        <v>216078.0</v>
      </c>
      <c r="H15" s="26">
        <f t="shared" si="4"/>
        <v>2400.866667</v>
      </c>
      <c r="I15" s="27">
        <f t="shared" si="5"/>
        <v>-0.1649265543</v>
      </c>
    </row>
    <row r="16" ht="12.75" customHeight="1">
      <c r="A16" s="25" t="s">
        <v>32</v>
      </c>
      <c r="B16" s="28">
        <v>4660029.0</v>
      </c>
      <c r="C16" s="26">
        <f t="shared" si="1"/>
        <v>51778.1</v>
      </c>
      <c r="D16" s="28">
        <v>4816493.0</v>
      </c>
      <c r="E16" s="26">
        <f t="shared" si="2"/>
        <v>53516.58889</v>
      </c>
      <c r="F16" s="27">
        <f t="shared" si="3"/>
        <v>0.03357575672</v>
      </c>
      <c r="G16" s="28">
        <v>4648195.0</v>
      </c>
      <c r="H16" s="26">
        <f t="shared" si="4"/>
        <v>51646.61111</v>
      </c>
      <c r="I16" s="27">
        <f t="shared" si="5"/>
        <v>0.03620717289</v>
      </c>
    </row>
    <row r="17" ht="12.75" customHeight="1">
      <c r="A17" s="25" t="s">
        <v>33</v>
      </c>
      <c r="B17" s="28">
        <v>3106721.0</v>
      </c>
      <c r="C17" s="26">
        <f t="shared" si="1"/>
        <v>34519.12222</v>
      </c>
      <c r="D17" s="28">
        <v>3147618.0</v>
      </c>
      <c r="E17" s="26">
        <f t="shared" si="2"/>
        <v>34973.53333</v>
      </c>
      <c r="F17" s="27">
        <f t="shared" si="3"/>
        <v>0.01316404016</v>
      </c>
      <c r="G17" s="28">
        <v>3141374.0</v>
      </c>
      <c r="H17" s="26">
        <f t="shared" si="4"/>
        <v>34904.15556</v>
      </c>
      <c r="I17" s="27">
        <f t="shared" si="5"/>
        <v>0.00198766527</v>
      </c>
    </row>
    <row r="18" ht="12.75" customHeight="1">
      <c r="A18" s="25" t="s">
        <v>34</v>
      </c>
      <c r="B18" s="28">
        <v>1441234.0</v>
      </c>
      <c r="C18" s="26">
        <f t="shared" si="1"/>
        <v>16013.71111</v>
      </c>
      <c r="D18" s="28">
        <v>1787927.0</v>
      </c>
      <c r="E18" s="26">
        <f t="shared" si="2"/>
        <v>19865.85556</v>
      </c>
      <c r="F18" s="27">
        <f t="shared" si="3"/>
        <v>0.2405528873</v>
      </c>
      <c r="G18" s="28">
        <v>1504222.0</v>
      </c>
      <c r="H18" s="26">
        <f t="shared" si="4"/>
        <v>16713.57778</v>
      </c>
      <c r="I18" s="27">
        <f t="shared" si="5"/>
        <v>0.1886058042</v>
      </c>
    </row>
    <row r="19" ht="12.75" customHeight="1">
      <c r="A19" s="25" t="s">
        <v>35</v>
      </c>
      <c r="B19" s="28">
        <v>879792.0</v>
      </c>
      <c r="C19" s="26">
        <f t="shared" si="1"/>
        <v>9775.466667</v>
      </c>
      <c r="D19" s="28">
        <v>864956.0</v>
      </c>
      <c r="E19" s="26">
        <f t="shared" si="2"/>
        <v>9610.622222</v>
      </c>
      <c r="F19" s="27">
        <f t="shared" si="3"/>
        <v>-0.01686307673</v>
      </c>
      <c r="G19" s="28">
        <v>847236.0</v>
      </c>
      <c r="H19" s="26">
        <f t="shared" si="4"/>
        <v>9413.733333</v>
      </c>
      <c r="I19" s="27">
        <f t="shared" si="5"/>
        <v>0.02091506971</v>
      </c>
    </row>
    <row r="20" ht="12.75" customHeight="1">
      <c r="A20" s="25" t="s">
        <v>36</v>
      </c>
      <c r="B20" s="28">
        <v>1046797.0</v>
      </c>
      <c r="C20" s="26">
        <f t="shared" si="1"/>
        <v>11631.07778</v>
      </c>
      <c r="D20" s="28">
        <v>1032339.0</v>
      </c>
      <c r="E20" s="26">
        <f t="shared" si="2"/>
        <v>11470.43333</v>
      </c>
      <c r="F20" s="27">
        <f t="shared" si="3"/>
        <v>-0.01381165594</v>
      </c>
      <c r="G20" s="28">
        <v>1064549.0</v>
      </c>
      <c r="H20" s="26">
        <f t="shared" si="4"/>
        <v>11828.32222</v>
      </c>
      <c r="I20" s="27">
        <f t="shared" si="5"/>
        <v>-0.03025694449</v>
      </c>
    </row>
    <row r="21" ht="12.75" customHeight="1">
      <c r="A21" s="25" t="s">
        <v>37</v>
      </c>
      <c r="B21" s="28">
        <v>2209367.0</v>
      </c>
      <c r="C21" s="26">
        <f t="shared" si="1"/>
        <v>24548.52222</v>
      </c>
      <c r="D21" s="28">
        <v>2399944.0</v>
      </c>
      <c r="E21" s="26">
        <f t="shared" si="2"/>
        <v>26666.04444</v>
      </c>
      <c r="F21" s="27">
        <f t="shared" si="3"/>
        <v>0.08625864331</v>
      </c>
      <c r="G21" s="28">
        <v>2301194.0</v>
      </c>
      <c r="H21" s="26">
        <f t="shared" si="4"/>
        <v>25568.82222</v>
      </c>
      <c r="I21" s="27">
        <f t="shared" si="5"/>
        <v>0.04291250542</v>
      </c>
    </row>
    <row r="22" ht="12.75" customHeight="1">
      <c r="A22" s="25" t="s">
        <v>38</v>
      </c>
      <c r="B22" s="28">
        <v>123707.0</v>
      </c>
      <c r="C22" s="26">
        <f t="shared" si="1"/>
        <v>1374.522222</v>
      </c>
      <c r="D22" s="28">
        <v>136503.0</v>
      </c>
      <c r="E22" s="26">
        <f t="shared" si="2"/>
        <v>1516.7</v>
      </c>
      <c r="F22" s="27">
        <f t="shared" si="3"/>
        <v>0.1034379623</v>
      </c>
      <c r="G22" s="28">
        <v>132268.0</v>
      </c>
      <c r="H22" s="26">
        <f t="shared" si="4"/>
        <v>1469.644444</v>
      </c>
      <c r="I22" s="27">
        <f t="shared" si="5"/>
        <v>0.03201832643</v>
      </c>
    </row>
    <row r="23" ht="12.75" customHeight="1">
      <c r="A23" s="25" t="s">
        <v>39</v>
      </c>
      <c r="B23" s="28">
        <v>94616.0</v>
      </c>
      <c r="C23" s="26">
        <f t="shared" si="1"/>
        <v>1051.288889</v>
      </c>
      <c r="D23" s="28">
        <v>106110.0</v>
      </c>
      <c r="E23" s="26">
        <f t="shared" si="2"/>
        <v>1179</v>
      </c>
      <c r="F23" s="27">
        <f t="shared" si="3"/>
        <v>0.1214805107</v>
      </c>
      <c r="G23" s="28">
        <v>94203.0</v>
      </c>
      <c r="H23" s="26">
        <f t="shared" si="4"/>
        <v>1046.7</v>
      </c>
      <c r="I23" s="27">
        <f t="shared" si="5"/>
        <v>0.1263972485</v>
      </c>
    </row>
    <row r="24" ht="12.75" customHeight="1">
      <c r="A24" s="25" t="s">
        <v>40</v>
      </c>
      <c r="B24" s="28">
        <v>303303.0</v>
      </c>
      <c r="C24" s="26">
        <f t="shared" si="1"/>
        <v>3370.033333</v>
      </c>
      <c r="D24" s="28">
        <v>288805.0</v>
      </c>
      <c r="E24" s="26">
        <f t="shared" si="2"/>
        <v>3208.944444</v>
      </c>
      <c r="F24" s="27">
        <f t="shared" si="3"/>
        <v>-0.04780038443</v>
      </c>
      <c r="G24" s="28">
        <v>285806.0</v>
      </c>
      <c r="H24" s="26">
        <f t="shared" si="4"/>
        <v>3175.622222</v>
      </c>
      <c r="I24" s="27">
        <f t="shared" si="5"/>
        <v>0.0104931317</v>
      </c>
    </row>
    <row r="25" ht="12.75" customHeight="1">
      <c r="A25" s="25" t="s">
        <v>41</v>
      </c>
      <c r="B25" s="28">
        <v>640004.0</v>
      </c>
      <c r="C25" s="26">
        <f t="shared" si="1"/>
        <v>7111.155556</v>
      </c>
      <c r="D25" s="28">
        <v>625493.0</v>
      </c>
      <c r="E25" s="26">
        <f t="shared" si="2"/>
        <v>6949.922222</v>
      </c>
      <c r="F25" s="27">
        <f t="shared" si="3"/>
        <v>-0.02267329579</v>
      </c>
      <c r="G25" s="28">
        <v>688523.0</v>
      </c>
      <c r="H25" s="26">
        <f t="shared" si="4"/>
        <v>7650.255556</v>
      </c>
      <c r="I25" s="27">
        <f t="shared" si="5"/>
        <v>-0.09154378285</v>
      </c>
    </row>
    <row r="26" ht="12.75" customHeight="1">
      <c r="A26" s="25" t="s">
        <v>42</v>
      </c>
      <c r="B26" s="28">
        <v>565646.0</v>
      </c>
      <c r="C26" s="26">
        <f t="shared" si="1"/>
        <v>6284.955556</v>
      </c>
      <c r="D26" s="28">
        <v>549815.0</v>
      </c>
      <c r="E26" s="26">
        <f t="shared" si="2"/>
        <v>6109.055556</v>
      </c>
      <c r="F26" s="27">
        <f t="shared" si="3"/>
        <v>-0.02798746919</v>
      </c>
      <c r="G26" s="28">
        <v>587515.0</v>
      </c>
      <c r="H26" s="26">
        <f t="shared" si="4"/>
        <v>6527.944444</v>
      </c>
      <c r="I26" s="27">
        <f t="shared" si="5"/>
        <v>-0.06416857442</v>
      </c>
    </row>
    <row r="27" ht="12.75" customHeight="1">
      <c r="A27" s="25" t="s">
        <v>43</v>
      </c>
      <c r="B27" s="28">
        <v>770388.0</v>
      </c>
      <c r="C27" s="26">
        <f t="shared" si="1"/>
        <v>8559.866667</v>
      </c>
      <c r="D27" s="28">
        <v>815033.0</v>
      </c>
      <c r="E27" s="26">
        <f t="shared" si="2"/>
        <v>9055.922222</v>
      </c>
      <c r="F27" s="27">
        <f t="shared" si="3"/>
        <v>0.05795131804</v>
      </c>
      <c r="G27" s="28">
        <v>829300.0</v>
      </c>
      <c r="H27" s="26">
        <f t="shared" si="4"/>
        <v>9214.444444</v>
      </c>
      <c r="I27" s="27">
        <f t="shared" si="5"/>
        <v>-0.01720366574</v>
      </c>
    </row>
    <row r="28" ht="12.75" customHeight="1">
      <c r="A28" s="25" t="s">
        <v>44</v>
      </c>
      <c r="B28" s="28">
        <v>1145037.0</v>
      </c>
      <c r="C28" s="26">
        <f t="shared" si="1"/>
        <v>12722.63333</v>
      </c>
      <c r="D28" s="28">
        <v>1171667.0</v>
      </c>
      <c r="E28" s="26">
        <f t="shared" si="2"/>
        <v>13018.52222</v>
      </c>
      <c r="F28" s="27">
        <f t="shared" si="3"/>
        <v>0.02325689039</v>
      </c>
      <c r="G28" s="28">
        <v>1142367.0</v>
      </c>
      <c r="H28" s="26">
        <f t="shared" si="4"/>
        <v>12692.96667</v>
      </c>
      <c r="I28" s="27">
        <f t="shared" si="5"/>
        <v>0.0256485</v>
      </c>
    </row>
    <row r="29" ht="12.75" customHeight="1">
      <c r="A29" s="25" t="s">
        <v>45</v>
      </c>
      <c r="B29" s="28">
        <v>1492743.0</v>
      </c>
      <c r="C29" s="26">
        <f t="shared" si="1"/>
        <v>16586.03333</v>
      </c>
      <c r="D29" s="28">
        <v>1432565.0</v>
      </c>
      <c r="E29" s="26">
        <f t="shared" si="2"/>
        <v>15917.38889</v>
      </c>
      <c r="F29" s="27">
        <f t="shared" si="3"/>
        <v>-0.04031370437</v>
      </c>
      <c r="G29" s="28">
        <v>1501017.0</v>
      </c>
      <c r="H29" s="26">
        <f t="shared" si="4"/>
        <v>16677.96667</v>
      </c>
      <c r="I29" s="27">
        <f t="shared" si="5"/>
        <v>-0.04560374733</v>
      </c>
    </row>
    <row r="30" ht="12.75" customHeight="1">
      <c r="A30" s="25" t="s">
        <v>46</v>
      </c>
      <c r="B30" s="28">
        <v>222434.0</v>
      </c>
      <c r="C30" s="26">
        <f t="shared" si="1"/>
        <v>2471.488889</v>
      </c>
      <c r="D30" s="28">
        <v>235972.0</v>
      </c>
      <c r="E30" s="26">
        <f t="shared" si="2"/>
        <v>2621.911111</v>
      </c>
      <c r="F30" s="27">
        <f t="shared" si="3"/>
        <v>0.06086299756</v>
      </c>
      <c r="G30" s="28">
        <v>253187.0</v>
      </c>
      <c r="H30" s="26">
        <f t="shared" si="4"/>
        <v>2813.188889</v>
      </c>
      <c r="I30" s="27">
        <f t="shared" si="5"/>
        <v>-0.0679932224</v>
      </c>
    </row>
    <row r="31" ht="12.75" customHeight="1">
      <c r="A31" s="25" t="s">
        <v>47</v>
      </c>
      <c r="B31" s="28">
        <v>135238.0</v>
      </c>
      <c r="C31" s="26">
        <f t="shared" si="1"/>
        <v>1502.644444</v>
      </c>
      <c r="D31" s="28">
        <v>161051.0</v>
      </c>
      <c r="E31" s="26">
        <f t="shared" si="2"/>
        <v>1789.455556</v>
      </c>
      <c r="F31" s="27">
        <f t="shared" si="3"/>
        <v>0.1908709091</v>
      </c>
      <c r="G31" s="28">
        <v>127076.0</v>
      </c>
      <c r="H31" s="26">
        <f t="shared" si="4"/>
        <v>1411.955556</v>
      </c>
      <c r="I31" s="27">
        <f t="shared" si="5"/>
        <v>0.2673596903</v>
      </c>
    </row>
    <row r="32" ht="12.75" customHeight="1">
      <c r="A32" s="25" t="s">
        <v>48</v>
      </c>
      <c r="B32" s="28">
        <v>592464.0</v>
      </c>
      <c r="C32" s="26">
        <f t="shared" si="1"/>
        <v>6582.933333</v>
      </c>
      <c r="D32" s="28">
        <v>610297.0</v>
      </c>
      <c r="E32" s="26">
        <f t="shared" si="2"/>
        <v>6781.077778</v>
      </c>
      <c r="F32" s="27">
        <f t="shared" si="3"/>
        <v>0.03009971914</v>
      </c>
      <c r="G32" s="28">
        <v>581311.0</v>
      </c>
      <c r="H32" s="26">
        <f t="shared" si="4"/>
        <v>6459.011111</v>
      </c>
      <c r="I32" s="27">
        <f t="shared" si="5"/>
        <v>0.04986315415</v>
      </c>
    </row>
    <row r="33" ht="12.75" customHeight="1">
      <c r="A33" s="25" t="s">
        <v>49</v>
      </c>
      <c r="B33" s="28">
        <v>2979382.0</v>
      </c>
      <c r="C33" s="26">
        <f t="shared" si="1"/>
        <v>33104.24444</v>
      </c>
      <c r="D33" s="28">
        <v>3066183.0</v>
      </c>
      <c r="E33" s="26">
        <f t="shared" si="2"/>
        <v>34068.7</v>
      </c>
      <c r="F33" s="27">
        <f t="shared" si="3"/>
        <v>0.02913389421</v>
      </c>
      <c r="G33" s="28">
        <v>2970176.0</v>
      </c>
      <c r="H33" s="26">
        <f t="shared" si="4"/>
        <v>33001.95556</v>
      </c>
      <c r="I33" s="27">
        <f t="shared" si="5"/>
        <v>0.03232367375</v>
      </c>
    </row>
    <row r="34" ht="12.75" customHeight="1">
      <c r="A34" s="25" t="s">
        <v>50</v>
      </c>
      <c r="B34" s="28">
        <v>653733.0</v>
      </c>
      <c r="C34" s="26">
        <f t="shared" si="1"/>
        <v>7263.7</v>
      </c>
      <c r="D34" s="28">
        <v>676285.0</v>
      </c>
      <c r="E34" s="26">
        <f t="shared" si="2"/>
        <v>7514.277778</v>
      </c>
      <c r="F34" s="27">
        <f t="shared" si="3"/>
        <v>0.03449726417</v>
      </c>
      <c r="G34" s="28">
        <v>712405.0</v>
      </c>
      <c r="H34" s="26">
        <f t="shared" si="4"/>
        <v>7915.611111</v>
      </c>
      <c r="I34" s="27">
        <f t="shared" si="5"/>
        <v>-0.05070149704</v>
      </c>
    </row>
    <row r="35" ht="12.75" customHeight="1">
      <c r="A35" s="25" t="s">
        <v>51</v>
      </c>
      <c r="B35" s="28">
        <v>338232.0</v>
      </c>
      <c r="C35" s="26">
        <f t="shared" si="1"/>
        <v>3758.133333</v>
      </c>
      <c r="D35" s="28">
        <v>337734.0</v>
      </c>
      <c r="E35" s="26">
        <f t="shared" si="2"/>
        <v>3752.6</v>
      </c>
      <c r="F35" s="27">
        <f t="shared" si="3"/>
        <v>-0.001472362166</v>
      </c>
      <c r="G35" s="28">
        <v>374037.0</v>
      </c>
      <c r="H35" s="26">
        <f t="shared" si="4"/>
        <v>4155.966667</v>
      </c>
      <c r="I35" s="27">
        <f t="shared" si="5"/>
        <v>-0.097057243</v>
      </c>
    </row>
    <row r="36" ht="12.75" customHeight="1">
      <c r="A36" s="29"/>
      <c r="B36" s="29"/>
      <c r="C36" s="29"/>
      <c r="D36" s="29"/>
      <c r="E36" s="29"/>
      <c r="F36" s="29"/>
      <c r="G36" s="29"/>
      <c r="H36" s="29"/>
      <c r="I36" s="2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0.63"/>
    <col customWidth="1" min="2" max="2" width="15.88"/>
    <col customWidth="1" min="3" max="3" width="7.0"/>
    <col customWidth="1" min="4" max="4" width="46.38"/>
  </cols>
  <sheetData>
    <row r="1" ht="12.0" customHeight="1">
      <c r="A1" s="30" t="s">
        <v>52</v>
      </c>
      <c r="B1" s="31" t="s">
        <v>53</v>
      </c>
      <c r="C1" s="31" t="s">
        <v>54</v>
      </c>
      <c r="D1" s="30" t="s">
        <v>55</v>
      </c>
    </row>
    <row r="2" ht="12.75" customHeight="1">
      <c r="A2" s="32"/>
      <c r="B2" s="33"/>
      <c r="C2" s="34"/>
      <c r="D2" s="35"/>
    </row>
    <row r="3" ht="12.0" customHeight="1">
      <c r="A3" s="32"/>
      <c r="B3" s="33"/>
      <c r="C3" s="34"/>
      <c r="D3" s="35" t="s">
        <v>56</v>
      </c>
    </row>
  </sheetData>
  <drawing r:id="rId1"/>
</worksheet>
</file>