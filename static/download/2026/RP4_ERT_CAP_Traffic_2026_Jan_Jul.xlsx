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_ERT_DLY_Traffic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<sst xmlns="http://schemas.openxmlformats.org/spreadsheetml/2006/main" count="134" uniqueCount="103">
  <si>
    <t>Data source</t>
  </si>
  <si>
    <t>Change date</t>
  </si>
  <si>
    <t>EUROCONTROL</t>
  </si>
  <si>
    <t>Entity</t>
  </si>
  <si>
    <t>Period Start</t>
  </si>
  <si>
    <t>Period</t>
  </si>
  <si>
    <t>Comment</t>
  </si>
  <si>
    <t xml:space="preserve"> </t>
  </si>
  <si>
    <t>Meta data</t>
  </si>
  <si>
    <t xml:space="preserve">   </t>
  </si>
  <si>
    <t>Release date</t>
  </si>
  <si>
    <t>Period End</t>
  </si>
  <si>
    <t>Contact</t>
  </si>
  <si>
    <t>pru-support@eurocontrol.int</t>
  </si>
  <si>
    <t xml:space="preserve">% of en-route ATFM delay occurring when daily throughput was above expected daily traffic </t>
  </si>
  <si>
    <t xml:space="preserve">  </t>
  </si>
  <si>
    <t>Period: JAN-JUL</t>
  </si>
  <si>
    <t>ACC Name</t>
  </si>
  <si>
    <t>State</t>
  </si>
  <si>
    <t>Flights</t>
  </si>
  <si>
    <t>TOT_ERT ATFM DLY WHERE TFC &gt; GUID TFC</t>
  </si>
  <si>
    <t>Total en-route ATFM delay (min)</t>
  </si>
  <si>
    <t>% ERT ATFM DLY (traffic &gt; forecast)</t>
  </si>
  <si>
    <t>Days with traffic &gt; forecast AND en-route ATFM delay</t>
  </si>
  <si>
    <t>AMSTERDAM ACC</t>
  </si>
  <si>
    <t>Netherlands</t>
  </si>
  <si>
    <t>ATHINAI ACC</t>
  </si>
  <si>
    <t>Greece</t>
  </si>
  <si>
    <t>BARCELONA ACC</t>
  </si>
  <si>
    <t>Spain</t>
  </si>
  <si>
    <t>BODO ACC</t>
  </si>
  <si>
    <t>Norway</t>
  </si>
  <si>
    <t>N/A</t>
  </si>
  <si>
    <t>BORDEAUX ACC</t>
  </si>
  <si>
    <t>France</t>
  </si>
  <si>
    <t>BRATISLAVA ACC</t>
  </si>
  <si>
    <t>Slovakia</t>
  </si>
  <si>
    <t>BREMEN ACC</t>
  </si>
  <si>
    <t>Germany</t>
  </si>
  <si>
    <t>BREST ACC</t>
  </si>
  <si>
    <t>BRINDISI ACC</t>
  </si>
  <si>
    <t>Italy</t>
  </si>
  <si>
    <t>BRUSSELS ACC</t>
  </si>
  <si>
    <t>Belgium</t>
  </si>
  <si>
    <t>BUCURESTI ACC</t>
  </si>
  <si>
    <t>Romania</t>
  </si>
  <si>
    <t>BUDAPEST ACC</t>
  </si>
  <si>
    <t>Hungary</t>
  </si>
  <si>
    <t>CANARIAS ACC</t>
  </si>
  <si>
    <t>DUBLIN ACC</t>
  </si>
  <si>
    <t>Ireland</t>
  </si>
  <si>
    <t>GENEVA ACC</t>
  </si>
  <si>
    <t>Switzerland</t>
  </si>
  <si>
    <t>HELSINKI ACC</t>
  </si>
  <si>
    <t>Finland</t>
  </si>
  <si>
    <t>KARLSRUHE UAC</t>
  </si>
  <si>
    <t>KOBENHAVN ACC</t>
  </si>
  <si>
    <t>Denmark</t>
  </si>
  <si>
    <t>LANGEN ACC</t>
  </si>
  <si>
    <t>LISBOA ACC</t>
  </si>
  <si>
    <t>Portugal</t>
  </si>
  <si>
    <t>LJUBLJANA ACC</t>
  </si>
  <si>
    <t>Slovenia</t>
  </si>
  <si>
    <t>MAASTRICHT UAC</t>
  </si>
  <si>
    <t>MADRID ACC</t>
  </si>
  <si>
    <t>MAKEDONIA ACC</t>
  </si>
  <si>
    <t>MALMO ACC</t>
  </si>
  <si>
    <t>Sweden</t>
  </si>
  <si>
    <t>MALTA ACC</t>
  </si>
  <si>
    <t>Malta</t>
  </si>
  <si>
    <t>MARSEILLE ACC</t>
  </si>
  <si>
    <t>MARSEILLE TMA</t>
  </si>
  <si>
    <t>MILANO ACC</t>
  </si>
  <si>
    <t>MUENCHEN ACC</t>
  </si>
  <si>
    <t>NICOSIA ACC</t>
  </si>
  <si>
    <t>Cyprus</t>
  </si>
  <si>
    <t>OSLO ACC</t>
  </si>
  <si>
    <t>PADOVA ACC</t>
  </si>
  <si>
    <t>PALMA ACC</t>
  </si>
  <si>
    <t>PARIS ACC</t>
  </si>
  <si>
    <t>PRAHA ACC</t>
  </si>
  <si>
    <t>Czech Republic</t>
  </si>
  <si>
    <t>REIMS ACC</t>
  </si>
  <si>
    <t>RIGA ACC</t>
  </si>
  <si>
    <t>Latvia</t>
  </si>
  <si>
    <t>ROMA ACC</t>
  </si>
  <si>
    <t>SEVILLA ACC</t>
  </si>
  <si>
    <t>SHANNON ACC</t>
  </si>
  <si>
    <t>SOFIA ACC</t>
  </si>
  <si>
    <t>Bulgaria</t>
  </si>
  <si>
    <t>STAVANGER ACC</t>
  </si>
  <si>
    <t>STOCKHOLM ACC</t>
  </si>
  <si>
    <t>TALLIN ACC</t>
  </si>
  <si>
    <t>Estonia</t>
  </si>
  <si>
    <t>VILNIUS ACC</t>
  </si>
  <si>
    <t>Lithuania</t>
  </si>
  <si>
    <t>WARSZAWA ACC</t>
  </si>
  <si>
    <t>Poland</t>
  </si>
  <si>
    <t>WIEN ACC</t>
  </si>
  <si>
    <t>Austria</t>
  </si>
  <si>
    <t>ZAGREB ACC</t>
  </si>
  <si>
    <t>Croatia</t>
  </si>
  <si>
    <t>ZURICH ACC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</si>
</sst>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0.0%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F3F3F3"/>
      <name val="Calibri"/>
    </font>
    <font>
      <sz val="9.0"/>
      <color rgb="FF396EA2"/>
      <name val="Calibri"/>
    </font>
    <font>
      <sz val="9.0"/>
      <name val="Calibri"/>
    </font>
    <font>
      <sz val="9.0"/>
      <color rgb="FF000000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0" fillId="3" fontId="2" numFmtId="0" xfId="0" applyAlignment="1" applyFill="1" applyFont="1">
      <alignment shrinkToFit="0" wrapText="0"/>
    </xf>
    <xf borderId="2" fillId="2" fontId="3" numFmtId="49" xfId="0" applyAlignment="1" applyBorder="1" applyFill="1" applyFont="1" applyNumberFormat="1">
      <alignment readingOrder="0" shrinkToFit="0" vertical="bottom" wrapText="0"/>
    </xf>
    <xf borderId="0" fillId="3" fontId="2" numFmtId="0" xfId="0" applyAlignment="1" applyFill="1" applyFont="1">
      <alignment horizontal="center" shrinkToFit="0" wrapText="0"/>
    </xf>
    <xf borderId="2" fillId="2" fontId="1" numFmtId="0" xfId="0" applyAlignment="1" applyBorder="1" applyFill="1" applyFont="1">
      <alignment shrinkToFit="0" vertical="bottom" wrapText="0"/>
    </xf>
    <xf borderId="2" fillId="2" fontId="3" numFmtId="164" xfId="0" applyAlignment="1" applyBorder="1" applyFill="1" applyFont="1" applyNumberFormat="1">
      <alignment horizontal="left" vertical="bottom"/>
    </xf>
    <xf borderId="0" fillId="4" fontId="4" numFmtId="0" xfId="0" applyAlignment="1" applyFill="1" applyFont="1">
      <alignment horizontal="center" readingOrder="0" shrinkToFit="0" vertical="bottom" wrapText="0"/>
    </xf>
    <xf borderId="2" fillId="2" fontId="3" numFmtId="164" xfId="0" applyAlignment="1" applyBorder="1" applyFill="1" applyFont="1" applyNumberFormat="1">
      <alignment horizontal="left" readingOrder="0" vertical="bottom"/>
    </xf>
    <xf borderId="0" fillId="4" fontId="5" numFmtId="0" xfId="0" applyAlignment="1" applyFill="1" applyFont="1">
      <alignment readingOrder="0" vertical="bottom"/>
    </xf>
    <xf borderId="2" fillId="2" fontId="1" numFmtId="0" xfId="0" applyAlignment="1" applyBorder="1" applyFill="1" applyFont="1">
      <alignment shrinkToFit="0" wrapText="0"/>
    </xf>
    <xf borderId="0" fillId="4" fontId="5" numFmtId="0" xfId="0" applyAlignment="1" applyFill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readingOrder="0" shrinkToFit="0" wrapText="0"/>
    </xf>
    <xf borderId="0" fillId="4" fontId="4" numFmtId="164" xfId="0" applyAlignment="1" applyFill="1" applyFont="1" applyNumberFormat="1">
      <alignment horizontal="center" readingOrder="0" shrinkToFit="0" vertical="bottom" wrapText="0"/>
    </xf>
    <xf borderId="0" fillId="4" fontId="5" numFmtId="17" xfId="0" applyAlignment="1" applyFill="1" applyFont="1" applyNumberFormat="1">
      <alignment vertical="bottom"/>
    </xf>
    <xf borderId="0" fillId="4" fontId="5" numFmtId="0" xfId="0" applyAlignment="1" applyFill="1" applyFont="1">
      <alignment horizontal="center" shrinkToFit="0" vertical="bottom" wrapText="0"/>
    </xf>
    <xf borderId="0" fillId="4" fontId="5" numFmtId="0" xfId="0" applyAlignment="1" applyFill="1" applyFont="1">
      <alignment vertical="bottom"/>
    </xf>
    <xf borderId="0" fillId="4" fontId="4" numFmtId="164" xfId="0" applyAlignment="1" applyFill="1" applyFont="1" applyNumberFormat="1">
      <alignment horizontal="center" shrinkToFit="0" vertical="bottom" wrapText="0"/>
    </xf>
    <xf borderId="3" fillId="4" fontId="6" numFmtId="165" xfId="0" applyAlignment="1" applyBorder="1" applyFill="1" applyFont="1" applyNumberFormat="1">
      <alignment horizontal="left" shrinkToFit="0" wrapText="0"/>
    </xf>
    <xf borderId="4" fillId="2" fontId="1" numFmtId="0" xfId="0" applyAlignment="1" applyBorder="1" applyFill="1" applyFont="1">
      <alignment shrinkToFit="0" wrapText="0"/>
    </xf>
    <xf borderId="5" fillId="0" fontId="7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ill="1" applyFont="1">
      <alignment vertical="bottom"/>
    </xf>
    <xf borderId="6" fillId="2" fontId="3" numFmtId="164" xfId="0" applyAlignment="1" applyBorder="1" applyFill="1" applyFont="1" applyNumberFormat="1">
      <alignment horizontal="left" vertical="bottom"/>
    </xf>
    <xf borderId="6" fillId="2" fontId="3" numFmtId="166" xfId="0" applyAlignment="1" applyBorder="1" applyFill="1" applyFont="1" applyNumberFormat="1">
      <alignment horizontal="left" readingOrder="0" vertical="bottom"/>
    </xf>
    <xf borderId="6" fillId="2" fontId="1" numFmtId="0" xfId="0" applyAlignment="1" applyBorder="1" applyFill="1" applyFont="1">
      <alignment shrinkToFit="0" wrapText="0"/>
    </xf>
    <xf borderId="6" fillId="2" fontId="8" numFmtId="0" xfId="0" applyAlignment="1" applyBorder="1" applyFill="1" applyFont="1">
      <alignment horizontal="left" readingOrder="0" shrinkToFit="0" wrapText="0"/>
    </xf>
    <xf borderId="7" fillId="4" fontId="9" numFmtId="0" xfId="0" applyAlignment="1" applyBorder="1" applyFill="1" applyFont="1">
      <alignment readingOrder="0" shrinkToFit="0" wrapText="0"/>
    </xf>
    <xf borderId="7" fillId="4" fontId="5" numFmtId="0" xfId="0" applyAlignment="1" applyBorder="1" applyFill="1" applyFont="1">
      <alignment shrinkToFit="0" wrapText="1"/>
    </xf>
    <xf borderId="7" fillId="4" fontId="5" numFmtId="0" xfId="0" applyAlignment="1" applyBorder="1" applyFill="1" applyFont="1">
      <alignment readingOrder="0" shrinkToFit="0" wrapText="1"/>
    </xf>
    <xf borderId="8" fillId="4" fontId="10" numFmtId="0" xfId="0" applyAlignment="1" applyBorder="1" applyFill="1" applyFont="1">
      <alignment readingOrder="0" shrinkToFit="0" vertical="center" wrapText="0"/>
    </xf>
    <xf borderId="6" fillId="4" fontId="5" numFmtId="0" xfId="0" applyAlignment="1" applyBorder="1" applyFill="1" applyFont="1">
      <alignment shrinkToFit="0" wrapText="1"/>
    </xf>
    <xf borderId="5" fillId="4" fontId="5" numFmtId="0" xfId="0" applyAlignment="1" applyBorder="1" applyFill="1" applyFont="1">
      <alignment shrinkToFit="0" wrapText="1"/>
    </xf>
    <xf borderId="5" fillId="4" fontId="11" numFmtId="0" xfId="0" applyAlignment="1" applyBorder="1" applyFill="1" applyFont="1">
      <alignment horizontal="center" readingOrder="0" shrinkToFit="0" vertical="center" wrapText="0"/>
    </xf>
    <xf borderId="0" fillId="0" fontId="12" numFmtId="0" xfId="0" applyFont="1"/>
    <xf borderId="8" fillId="3" fontId="2" numFmtId="0" xfId="0" applyAlignment="1" applyBorder="1" applyFill="1" applyFont="1">
      <alignment readingOrder="0" shrinkToFit="0" wrapText="0"/>
    </xf>
    <xf borderId="0" fillId="3" fontId="2" numFmtId="0" xfId="0" applyAlignment="1" applyFill="1" applyFont="1">
      <alignment horizontal="left" readingOrder="0" shrinkToFit="0" wrapText="0"/>
    </xf>
    <xf borderId="8" fillId="4" fontId="5" numFmtId="2" xfId="0" applyAlignment="1" applyBorder="1" applyFill="1" applyFont="1" applyNumberFormat="1">
      <alignment readingOrder="0" vertical="bottom"/>
    </xf>
    <xf borderId="8" fillId="4" fontId="5" numFmtId="3" xfId="0" applyAlignment="1" applyBorder="1" applyFill="1" applyFont="1" applyNumberFormat="1">
      <alignment horizontal="right" readingOrder="0" shrinkToFit="0" vertical="center" wrapText="0"/>
    </xf>
    <xf borderId="8" fillId="4" fontId="5" numFmtId="167" xfId="0" applyAlignment="1" applyBorder="1" applyFill="1" applyFont="1" applyNumberFormat="1">
      <alignment horizontal="right" readingOrder="0" shrinkToFit="0" vertical="center" wrapText="0"/>
    </xf>
    <xf borderId="8" fillId="4" fontId="5" numFmtId="1" xfId="0" applyAlignment="1" applyBorder="1" applyFill="1" applyFont="1" applyNumberFormat="1">
      <alignment horizontal="right" readingOrder="0" shrinkToFit="0" vertical="center" wrapText="0"/>
    </xf>
    <xf borderId="8" fillId="4" fontId="5" numFmtId="0" xfId="0" applyAlignment="1" applyBorder="1" applyFill="1" applyFont="1">
      <alignment readingOrder="0" vertical="bottom"/>
    </xf>
    <xf borderId="0" fillId="4" fontId="5" numFmtId="2" xfId="0" applyAlignment="1" applyFill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1.13"/>
    <col customWidth="1" min="3" max="3" width="8.25"/>
    <col customWidth="1" min="4" max="4" width="28.38"/>
    <col customWidth="1" min="5" max="5" width="13.75"/>
    <col customWidth="1" min="6" max="6" width="18.13"/>
    <col customWidth="1" min="7" max="7" width="20.38"/>
  </cols>
  <sheetData>
    <row r="1" ht="12.75" customHeight="1">
      <c r="A1" s="1" t="s">
        <v>0</v>
      </c>
      <c r="B1" s="3" t="s">
        <v>2</v>
      </c>
      <c r="C1" s="5" t="s">
        <v>4</v>
      </c>
      <c r="D1" s="6"/>
      <c r="E1" s="8">
        <v>46023.0</v>
      </c>
      <c r="F1" s="10" t="s">
        <v>8</v>
      </c>
      <c r="G1" s="19" t="str">
        <f>HYPERLINK("https://www.eurocontrol.int/prudata/dashboard/metadata/ert-dly-traffic/","Share of en-route ATFM delay occuring when traffic was above forecast")</f>
        <v>Share of en-route ATFM delay occuring when traffic was above forecast</v>
      </c>
    </row>
    <row r="2" ht="12.75" customHeight="1">
      <c r="A2" s="20" t="s">
        <v>10</v>
      </c>
      <c r="B2" s="21">
        <v>46260.0</v>
      </c>
      <c r="C2" s="22" t="s">
        <v>11</v>
      </c>
      <c r="D2" s="23"/>
      <c r="E2" s="24">
        <v>46234.0</v>
      </c>
      <c r="F2" s="25" t="s">
        <v>12</v>
      </c>
      <c r="G2" s="26" t="s">
        <v>13</v>
      </c>
    </row>
    <row r="3" ht="12.75" customHeight="1">
      <c r="A3" s="27" t="s">
        <v>14</v>
      </c>
      <c r="B3" s="28"/>
      <c r="C3" s="28"/>
      <c r="D3" s="28"/>
      <c r="E3" s="29" t="s">
        <v>15</v>
      </c>
      <c r="F3" s="29" t="s">
        <v>15</v>
      </c>
      <c r="G3" s="29" t="s">
        <v>7</v>
      </c>
    </row>
    <row r="4" ht="12.75" customHeight="1">
      <c r="A4" s="30" t="s">
        <v>16</v>
      </c>
      <c r="B4" s="31"/>
      <c r="C4" s="32"/>
      <c r="D4" s="33"/>
      <c r="E4" s="33" t="s">
        <v>7</v>
      </c>
      <c r="F4" s="33" t="s">
        <v>7</v>
      </c>
      <c r="G4" s="34"/>
    </row>
    <row r="5" ht="12.75" customHeight="1">
      <c r="A5" s="35" t="s">
        <v>17</v>
      </c>
      <c r="B5" s="35" t="s">
        <v>18</v>
      </c>
      <c r="C5" s="36" t="s">
        <v>19</v>
      </c>
      <c r="D5" s="36" t="s">
        <v>20</v>
      </c>
      <c r="E5" s="35" t="s">
        <v>21</v>
      </c>
      <c r="F5" s="36" t="s">
        <v>22</v>
      </c>
      <c r="G5" s="36" t="s">
        <v>23</v>
      </c>
    </row>
    <row r="6" ht="12.75" customHeight="1">
      <c r="A6" s="37" t="s">
        <v>24</v>
      </c>
      <c r="B6" s="9" t="s">
        <v>25</v>
      </c>
      <c r="C6" s="38">
        <v>311736.0</v>
      </c>
      <c r="D6" s="38">
        <v>10550.0</v>
      </c>
      <c r="E6" s="38">
        <v>14166.0</v>
      </c>
      <c r="F6" s="39">
        <v>0.745</v>
      </c>
      <c r="G6" s="40">
        <v>56.0</v>
      </c>
    </row>
    <row r="7" ht="12.75" customHeight="1">
      <c r="A7" s="37" t="s">
        <v>26</v>
      </c>
      <c r="B7" s="41" t="s">
        <v>27</v>
      </c>
      <c r="C7" s="38">
        <v>468209.0</v>
      </c>
      <c r="D7" s="38">
        <v>19985.0</v>
      </c>
      <c r="E7" s="38">
        <v>671596.0</v>
      </c>
      <c r="F7" s="39">
        <v>0.03</v>
      </c>
      <c r="G7" s="40">
        <v>14.0</v>
      </c>
    </row>
    <row r="8" ht="12.75" customHeight="1">
      <c r="A8" s="37" t="s">
        <v>28</v>
      </c>
      <c r="B8" s="41" t="s">
        <v>29</v>
      </c>
      <c r="C8" s="38">
        <v>665204.0</v>
      </c>
      <c r="D8" s="38">
        <v>361483.0</v>
      </c>
      <c r="E8" s="38">
        <v>904061.0</v>
      </c>
      <c r="F8" s="39">
        <v>0.4</v>
      </c>
      <c r="G8" s="40">
        <v>107.0</v>
      </c>
    </row>
    <row r="9" ht="12.75" customHeight="1">
      <c r="A9" s="37" t="s">
        <v>30</v>
      </c>
      <c r="B9" s="41" t="s">
        <v>31</v>
      </c>
      <c r="C9" s="38">
        <v>113422.0</v>
      </c>
      <c r="D9" s="38">
        <v>0.0</v>
      </c>
      <c r="E9" s="38">
        <v>0.0</v>
      </c>
      <c r="F9" s="39" t="s">
        <v>32</v>
      </c>
      <c r="G9" s="40">
        <v>0.0</v>
      </c>
    </row>
    <row r="10" ht="12.75" customHeight="1">
      <c r="A10" s="37" t="s">
        <v>33</v>
      </c>
      <c r="B10" s="41" t="s">
        <v>34</v>
      </c>
      <c r="C10" s="38">
        <v>588194.0</v>
      </c>
      <c r="D10" s="38">
        <v>152500.0</v>
      </c>
      <c r="E10" s="38">
        <v>332178.0</v>
      </c>
      <c r="F10" s="39">
        <v>0.459</v>
      </c>
      <c r="G10" s="40">
        <v>89.0</v>
      </c>
    </row>
    <row r="11" ht="12.75" customHeight="1">
      <c r="A11" s="37" t="s">
        <v>35</v>
      </c>
      <c r="B11" s="41" t="s">
        <v>36</v>
      </c>
      <c r="C11" s="38">
        <v>339310.0</v>
      </c>
      <c r="D11" s="38">
        <v>18430.0</v>
      </c>
      <c r="E11" s="38">
        <v>44485.0</v>
      </c>
      <c r="F11" s="39">
        <v>0.414</v>
      </c>
      <c r="G11" s="40">
        <v>7.0</v>
      </c>
    </row>
    <row r="12" ht="12.75" customHeight="1">
      <c r="A12" s="37" t="s">
        <v>37</v>
      </c>
      <c r="B12" s="41" t="s">
        <v>38</v>
      </c>
      <c r="C12" s="38">
        <v>288415.0</v>
      </c>
      <c r="D12" s="38">
        <v>22699.0</v>
      </c>
      <c r="E12" s="38">
        <v>36338.0</v>
      </c>
      <c r="F12" s="39">
        <v>0.625</v>
      </c>
      <c r="G12" s="40">
        <v>62.0</v>
      </c>
    </row>
    <row r="13" ht="12.75" customHeight="1">
      <c r="A13" s="37" t="s">
        <v>39</v>
      </c>
      <c r="B13" s="41" t="s">
        <v>34</v>
      </c>
      <c r="C13" s="38">
        <v>674193.0</v>
      </c>
      <c r="D13" s="38">
        <v>60722.0</v>
      </c>
      <c r="E13" s="38">
        <v>504740.0</v>
      </c>
      <c r="F13" s="39">
        <v>0.12</v>
      </c>
      <c r="G13" s="40">
        <v>35.0</v>
      </c>
    </row>
    <row r="14" ht="12.75" customHeight="1">
      <c r="A14" s="37" t="s">
        <v>40</v>
      </c>
      <c r="B14" s="41" t="s">
        <v>41</v>
      </c>
      <c r="C14" s="38">
        <v>229725.0</v>
      </c>
      <c r="D14" s="38">
        <v>6541.0</v>
      </c>
      <c r="E14" s="38">
        <v>6825.0</v>
      </c>
      <c r="F14" s="39">
        <v>0.958</v>
      </c>
      <c r="G14" s="40">
        <v>6.0</v>
      </c>
    </row>
    <row r="15" ht="12.75" customHeight="1">
      <c r="A15" s="37" t="s">
        <v>42</v>
      </c>
      <c r="B15" s="41" t="s">
        <v>43</v>
      </c>
      <c r="C15" s="38">
        <v>348595.0</v>
      </c>
      <c r="D15" s="38">
        <v>5750.0</v>
      </c>
      <c r="E15" s="38">
        <v>37796.0</v>
      </c>
      <c r="F15" s="39">
        <v>0.152</v>
      </c>
      <c r="G15" s="40">
        <v>30.0</v>
      </c>
    </row>
    <row r="16" ht="12.75" customHeight="1">
      <c r="A16" s="37" t="s">
        <v>44</v>
      </c>
      <c r="B16" s="41" t="s">
        <v>45</v>
      </c>
      <c r="C16" s="38">
        <v>478866.0</v>
      </c>
      <c r="D16" s="38">
        <v>0.0</v>
      </c>
      <c r="E16" s="38">
        <v>8793.0</v>
      </c>
      <c r="F16" s="39">
        <v>0.0</v>
      </c>
      <c r="G16" s="40">
        <v>0.0</v>
      </c>
    </row>
    <row r="17" ht="12.75" customHeight="1">
      <c r="A17" s="37" t="s">
        <v>46</v>
      </c>
      <c r="B17" s="41" t="s">
        <v>47</v>
      </c>
      <c r="C17" s="38">
        <v>626686.0</v>
      </c>
      <c r="D17" s="38">
        <v>1704.0</v>
      </c>
      <c r="E17" s="38">
        <v>62424.0</v>
      </c>
      <c r="F17" s="39">
        <v>0.027</v>
      </c>
      <c r="G17" s="40">
        <v>4.0</v>
      </c>
    </row>
    <row r="18" ht="12.75" customHeight="1">
      <c r="A18" s="37" t="s">
        <v>48</v>
      </c>
      <c r="B18" s="41" t="s">
        <v>29</v>
      </c>
      <c r="C18" s="38">
        <v>253434.0</v>
      </c>
      <c r="D18" s="38">
        <v>16319.0</v>
      </c>
      <c r="E18" s="38">
        <v>23646.0</v>
      </c>
      <c r="F18" s="39">
        <v>0.69</v>
      </c>
      <c r="G18" s="40">
        <v>62.0</v>
      </c>
    </row>
    <row r="19" ht="12.75" customHeight="1">
      <c r="A19" s="37" t="s">
        <v>49</v>
      </c>
      <c r="B19" s="41" t="s">
        <v>50</v>
      </c>
      <c r="C19" s="38">
        <v>160302.0</v>
      </c>
      <c r="D19" s="38">
        <v>0.0</v>
      </c>
      <c r="E19" s="38">
        <v>0.0</v>
      </c>
      <c r="F19" s="39" t="s">
        <v>32</v>
      </c>
      <c r="G19" s="40">
        <v>0.0</v>
      </c>
    </row>
    <row r="20" ht="12.75" customHeight="1">
      <c r="A20" s="37" t="s">
        <v>51</v>
      </c>
      <c r="B20" s="41" t="s">
        <v>52</v>
      </c>
      <c r="C20" s="38">
        <v>405455.0</v>
      </c>
      <c r="D20" s="38">
        <v>90668.0</v>
      </c>
      <c r="E20" s="38">
        <v>187355.0</v>
      </c>
      <c r="F20" s="39">
        <v>0.484</v>
      </c>
      <c r="G20" s="40">
        <v>90.0</v>
      </c>
    </row>
    <row r="21" ht="12.75" customHeight="1">
      <c r="A21" s="37" t="s">
        <v>53</v>
      </c>
      <c r="B21" s="41" t="s">
        <v>54</v>
      </c>
      <c r="C21" s="38">
        <v>100709.0</v>
      </c>
      <c r="D21" s="38">
        <v>435.0</v>
      </c>
      <c r="E21" s="38">
        <v>733.0</v>
      </c>
      <c r="F21" s="39">
        <v>0.593</v>
      </c>
      <c r="G21" s="40">
        <v>6.0</v>
      </c>
    </row>
    <row r="22" ht="12.75" customHeight="1">
      <c r="A22" s="37" t="s">
        <v>55</v>
      </c>
      <c r="B22" s="41" t="s">
        <v>38</v>
      </c>
      <c r="C22" s="38">
        <v>1087235.0</v>
      </c>
      <c r="D22" s="38">
        <v>61860.0</v>
      </c>
      <c r="E22" s="38">
        <v>596996.0</v>
      </c>
      <c r="F22" s="39">
        <v>0.104</v>
      </c>
      <c r="G22" s="40">
        <v>37.0</v>
      </c>
    </row>
    <row r="23" ht="12.75" customHeight="1">
      <c r="A23" s="37" t="s">
        <v>56</v>
      </c>
      <c r="B23" s="41" t="s">
        <v>57</v>
      </c>
      <c r="C23" s="38">
        <v>301102.0</v>
      </c>
      <c r="D23" s="38">
        <v>5786.0</v>
      </c>
      <c r="E23" s="38">
        <v>9328.0</v>
      </c>
      <c r="F23" s="39">
        <v>0.62</v>
      </c>
      <c r="G23" s="40">
        <v>21.0</v>
      </c>
    </row>
    <row r="24" ht="12.75" customHeight="1">
      <c r="A24" s="37" t="s">
        <v>58</v>
      </c>
      <c r="B24" s="41" t="s">
        <v>38</v>
      </c>
      <c r="C24" s="38">
        <v>654646.0</v>
      </c>
      <c r="D24" s="38">
        <v>43778.0</v>
      </c>
      <c r="E24" s="38">
        <v>143647.0</v>
      </c>
      <c r="F24" s="39">
        <v>0.305</v>
      </c>
      <c r="G24" s="40">
        <v>56.0</v>
      </c>
    </row>
    <row r="25" ht="12.75" customHeight="1">
      <c r="A25" s="37" t="s">
        <v>59</v>
      </c>
      <c r="B25" s="41" t="s">
        <v>60</v>
      </c>
      <c r="C25" s="38">
        <v>412015.0</v>
      </c>
      <c r="D25" s="38">
        <v>15100.0</v>
      </c>
      <c r="E25" s="38">
        <v>35223.0</v>
      </c>
      <c r="F25" s="39">
        <v>0.429</v>
      </c>
      <c r="G25" s="40">
        <v>35.0</v>
      </c>
    </row>
    <row r="26" ht="12.75" customHeight="1">
      <c r="A26" s="37" t="s">
        <v>61</v>
      </c>
      <c r="B26" s="41" t="s">
        <v>62</v>
      </c>
      <c r="C26" s="38">
        <v>292798.0</v>
      </c>
      <c r="D26" s="38">
        <v>4445.0</v>
      </c>
      <c r="E26" s="38">
        <v>15368.0</v>
      </c>
      <c r="F26" s="39">
        <v>0.289</v>
      </c>
      <c r="G26" s="40">
        <v>14.0</v>
      </c>
    </row>
    <row r="27" ht="12.75" customHeight="1">
      <c r="A27" s="37" t="s">
        <v>63</v>
      </c>
      <c r="B27" s="41" t="s">
        <v>2</v>
      </c>
      <c r="C27" s="38">
        <v>1042627.0</v>
      </c>
      <c r="D27" s="38">
        <v>62577.0</v>
      </c>
      <c r="E27" s="38">
        <v>135311.0</v>
      </c>
      <c r="F27" s="39">
        <v>0.462</v>
      </c>
      <c r="G27" s="40">
        <v>58.0</v>
      </c>
    </row>
    <row r="28" ht="12.75" customHeight="1">
      <c r="A28" s="37" t="s">
        <v>64</v>
      </c>
      <c r="B28" s="41" t="s">
        <v>29</v>
      </c>
      <c r="C28" s="38">
        <v>792475.0</v>
      </c>
      <c r="D28" s="38">
        <v>274975.0</v>
      </c>
      <c r="E28" s="38">
        <v>320945.0</v>
      </c>
      <c r="F28" s="39">
        <v>0.857</v>
      </c>
      <c r="G28" s="40">
        <v>166.0</v>
      </c>
    </row>
    <row r="29" ht="12.75" customHeight="1">
      <c r="A29" s="37" t="s">
        <v>65</v>
      </c>
      <c r="B29" s="41" t="s">
        <v>27</v>
      </c>
      <c r="C29" s="38">
        <v>380663.0</v>
      </c>
      <c r="D29" s="38">
        <v>12476.0</v>
      </c>
      <c r="E29" s="38">
        <v>339699.0</v>
      </c>
      <c r="F29" s="39">
        <v>0.037</v>
      </c>
      <c r="G29" s="40">
        <v>17.0</v>
      </c>
    </row>
    <row r="30" ht="12.75" customHeight="1">
      <c r="A30" s="37" t="s">
        <v>66</v>
      </c>
      <c r="B30" s="41" t="s">
        <v>67</v>
      </c>
      <c r="C30" s="38">
        <v>274981.0</v>
      </c>
      <c r="D30" s="38">
        <v>1006.0</v>
      </c>
      <c r="E30" s="38">
        <v>3884.0</v>
      </c>
      <c r="F30" s="39">
        <v>0.259</v>
      </c>
      <c r="G30" s="40">
        <v>8.0</v>
      </c>
    </row>
    <row r="31" ht="12.75" customHeight="1">
      <c r="A31" s="37" t="s">
        <v>68</v>
      </c>
      <c r="B31" s="41" t="s">
        <v>69</v>
      </c>
      <c r="C31" s="38">
        <v>98454.0</v>
      </c>
      <c r="D31" s="38">
        <v>404.0</v>
      </c>
      <c r="E31" s="38">
        <v>785.0</v>
      </c>
      <c r="F31" s="39">
        <v>0.515</v>
      </c>
      <c r="G31" s="40">
        <v>1.0</v>
      </c>
    </row>
    <row r="32" ht="12.75" customHeight="1">
      <c r="A32" s="37" t="s">
        <v>70</v>
      </c>
      <c r="B32" s="41" t="s">
        <v>34</v>
      </c>
      <c r="C32" s="38">
        <v>751535.0</v>
      </c>
      <c r="D32" s="38">
        <v>461518.0</v>
      </c>
      <c r="E32" s="38">
        <v>794043.0</v>
      </c>
      <c r="F32" s="39">
        <v>0.581</v>
      </c>
      <c r="G32" s="40">
        <v>112.0</v>
      </c>
    </row>
    <row r="33" ht="12.75" customHeight="1">
      <c r="A33" s="37" t="s">
        <v>71</v>
      </c>
      <c r="B33" s="41" t="s">
        <v>34</v>
      </c>
      <c r="C33" s="38">
        <v>202674.0</v>
      </c>
      <c r="D33" s="38">
        <v>8999.0</v>
      </c>
      <c r="E33" s="38">
        <v>11665.0</v>
      </c>
      <c r="F33" s="39">
        <v>0.771</v>
      </c>
      <c r="G33" s="40">
        <v>24.0</v>
      </c>
    </row>
    <row r="34" ht="12.75" customHeight="1">
      <c r="A34" s="37" t="s">
        <v>72</v>
      </c>
      <c r="B34" s="41" t="s">
        <v>41</v>
      </c>
      <c r="C34" s="38">
        <v>648279.0</v>
      </c>
      <c r="D34" s="38">
        <v>0.0</v>
      </c>
      <c r="E34" s="38">
        <v>33380.0</v>
      </c>
      <c r="F34" s="39">
        <v>0.0</v>
      </c>
      <c r="G34" s="40">
        <v>0.0</v>
      </c>
    </row>
    <row r="35" ht="12.75" customHeight="1">
      <c r="A35" s="37" t="s">
        <v>73</v>
      </c>
      <c r="B35" s="41" t="s">
        <v>38</v>
      </c>
      <c r="C35" s="38">
        <v>572264.0</v>
      </c>
      <c r="D35" s="38">
        <v>27722.0</v>
      </c>
      <c r="E35" s="38">
        <v>155318.0</v>
      </c>
      <c r="F35" s="39">
        <v>0.178</v>
      </c>
      <c r="G35" s="40">
        <v>53.0</v>
      </c>
    </row>
    <row r="36" ht="12.75" customHeight="1">
      <c r="A36" s="37" t="s">
        <v>74</v>
      </c>
      <c r="B36" s="41" t="s">
        <v>75</v>
      </c>
      <c r="C36" s="38">
        <v>262582.0</v>
      </c>
      <c r="D36" s="38">
        <v>7661.0</v>
      </c>
      <c r="E36" s="38">
        <v>8515.0</v>
      </c>
      <c r="F36" s="39">
        <v>0.9</v>
      </c>
      <c r="G36" s="40">
        <v>19.0</v>
      </c>
    </row>
    <row r="37" ht="12.75" customHeight="1">
      <c r="A37" s="37" t="s">
        <v>76</v>
      </c>
      <c r="B37" s="41" t="s">
        <v>31</v>
      </c>
      <c r="C37" s="38">
        <v>191709.0</v>
      </c>
      <c r="D37" s="38">
        <v>4623.0</v>
      </c>
      <c r="E37" s="38">
        <v>7433.0</v>
      </c>
      <c r="F37" s="39">
        <v>0.622</v>
      </c>
      <c r="G37" s="40">
        <v>16.0</v>
      </c>
    </row>
    <row r="38" ht="12.75" customHeight="1">
      <c r="A38" s="37" t="s">
        <v>77</v>
      </c>
      <c r="B38" s="41" t="s">
        <v>41</v>
      </c>
      <c r="C38" s="38">
        <v>531196.0</v>
      </c>
      <c r="D38" s="38">
        <v>2690.0</v>
      </c>
      <c r="E38" s="38">
        <v>17607.0</v>
      </c>
      <c r="F38" s="39">
        <v>0.153</v>
      </c>
      <c r="G38" s="40">
        <v>2.0</v>
      </c>
    </row>
    <row r="39" ht="12.75" customHeight="1">
      <c r="A39" s="37" t="s">
        <v>78</v>
      </c>
      <c r="B39" s="41" t="s">
        <v>29</v>
      </c>
      <c r="C39" s="38">
        <v>222394.0</v>
      </c>
      <c r="D39" s="38">
        <v>29219.0</v>
      </c>
      <c r="E39" s="38">
        <v>31964.0</v>
      </c>
      <c r="F39" s="39">
        <v>0.914</v>
      </c>
      <c r="G39" s="40">
        <v>46.0</v>
      </c>
    </row>
    <row r="40" ht="12.75" customHeight="1">
      <c r="A40" s="37" t="s">
        <v>79</v>
      </c>
      <c r="B40" s="41" t="s">
        <v>34</v>
      </c>
      <c r="C40" s="38">
        <v>698399.0</v>
      </c>
      <c r="D40" s="38">
        <v>42971.0</v>
      </c>
      <c r="E40" s="38">
        <v>164458.0</v>
      </c>
      <c r="F40" s="39">
        <v>0.261</v>
      </c>
      <c r="G40" s="40">
        <v>62.0</v>
      </c>
    </row>
    <row r="41" ht="12.75" customHeight="1">
      <c r="A41" s="37" t="s">
        <v>80</v>
      </c>
      <c r="B41" s="41" t="s">
        <v>81</v>
      </c>
      <c r="C41" s="38">
        <v>449262.0</v>
      </c>
      <c r="D41" s="38">
        <v>9557.0</v>
      </c>
      <c r="E41" s="38">
        <v>31183.0</v>
      </c>
      <c r="F41" s="39">
        <v>0.306</v>
      </c>
      <c r="G41" s="40">
        <v>5.0</v>
      </c>
    </row>
    <row r="42" ht="12.75" customHeight="1">
      <c r="A42" s="37" t="s">
        <v>82</v>
      </c>
      <c r="B42" s="41" t="s">
        <v>34</v>
      </c>
      <c r="C42" s="38">
        <v>637243.0</v>
      </c>
      <c r="D42" s="38">
        <v>492827.0</v>
      </c>
      <c r="E42" s="38">
        <v>726129.0</v>
      </c>
      <c r="F42" s="39">
        <v>0.679</v>
      </c>
      <c r="G42" s="40">
        <v>147.0</v>
      </c>
    </row>
    <row r="43" ht="12.75" customHeight="1">
      <c r="A43" s="37" t="s">
        <v>83</v>
      </c>
      <c r="B43" s="41" t="s">
        <v>84</v>
      </c>
      <c r="C43" s="38">
        <v>143279.0</v>
      </c>
      <c r="D43" s="38">
        <v>270.0</v>
      </c>
      <c r="E43" s="38">
        <v>1176.0</v>
      </c>
      <c r="F43" s="39">
        <v>0.23</v>
      </c>
      <c r="G43" s="40">
        <v>2.0</v>
      </c>
    </row>
    <row r="44" ht="12.75" customHeight="1">
      <c r="A44" s="37" t="s">
        <v>85</v>
      </c>
      <c r="B44" s="37" t="s">
        <v>41</v>
      </c>
      <c r="C44" s="38">
        <v>690078.0</v>
      </c>
      <c r="D44" s="38">
        <v>12629.0</v>
      </c>
      <c r="E44" s="38">
        <v>27925.0</v>
      </c>
      <c r="F44" s="39">
        <v>0.452</v>
      </c>
      <c r="G44" s="40">
        <v>8.0</v>
      </c>
    </row>
    <row r="45" ht="12.75" customHeight="1">
      <c r="A45" s="37" t="s">
        <v>86</v>
      </c>
      <c r="B45" s="37" t="s">
        <v>29</v>
      </c>
      <c r="C45" s="38">
        <v>343396.0</v>
      </c>
      <c r="D45" s="38">
        <v>149499.0</v>
      </c>
      <c r="E45" s="38">
        <v>184106.0</v>
      </c>
      <c r="F45" s="39">
        <v>0.812</v>
      </c>
      <c r="G45" s="40">
        <v>160.0</v>
      </c>
    </row>
    <row r="46" ht="12.75" customHeight="1">
      <c r="A46" s="37" t="s">
        <v>87</v>
      </c>
      <c r="B46" s="37" t="s">
        <v>50</v>
      </c>
      <c r="C46" s="38">
        <v>304214.0</v>
      </c>
      <c r="D46" s="38">
        <v>7396.0</v>
      </c>
      <c r="E46" s="38">
        <v>11726.0</v>
      </c>
      <c r="F46" s="39">
        <v>0.631</v>
      </c>
      <c r="G46" s="40">
        <v>16.0</v>
      </c>
    </row>
    <row r="47" ht="12.75" customHeight="1">
      <c r="A47" s="37" t="s">
        <v>88</v>
      </c>
      <c r="B47" s="37" t="s">
        <v>89</v>
      </c>
      <c r="C47" s="38">
        <v>567313.0</v>
      </c>
      <c r="D47" s="38">
        <v>13800.0</v>
      </c>
      <c r="E47" s="38">
        <v>28449.0</v>
      </c>
      <c r="F47" s="39">
        <v>0.485</v>
      </c>
      <c r="G47" s="40">
        <v>7.0</v>
      </c>
    </row>
    <row r="48" ht="12.75" customHeight="1">
      <c r="A48" s="37" t="s">
        <v>90</v>
      </c>
      <c r="B48" s="37" t="s">
        <v>31</v>
      </c>
      <c r="C48" s="38">
        <v>137006.0</v>
      </c>
      <c r="D48" s="38">
        <v>582.0</v>
      </c>
      <c r="E48" s="38">
        <v>1699.0</v>
      </c>
      <c r="F48" s="39">
        <v>0.343</v>
      </c>
      <c r="G48" s="40">
        <v>2.0</v>
      </c>
    </row>
    <row r="49" ht="12.75" customHeight="1">
      <c r="A49" s="37" t="s">
        <v>91</v>
      </c>
      <c r="B49" s="37" t="s">
        <v>67</v>
      </c>
      <c r="C49" s="38">
        <v>170933.0</v>
      </c>
      <c r="D49" s="38">
        <v>1680.0</v>
      </c>
      <c r="E49" s="38">
        <v>2468.0</v>
      </c>
      <c r="F49" s="39">
        <v>0.681</v>
      </c>
      <c r="G49" s="40">
        <v>4.0</v>
      </c>
    </row>
    <row r="50" ht="12.75" customHeight="1">
      <c r="A50" s="37" t="s">
        <v>92</v>
      </c>
      <c r="B50" s="37" t="s">
        <v>93</v>
      </c>
      <c r="C50" s="38">
        <v>99877.0</v>
      </c>
      <c r="D50" s="38">
        <v>1550.0</v>
      </c>
      <c r="E50" s="38">
        <v>2047.0</v>
      </c>
      <c r="F50" s="39">
        <v>0.757</v>
      </c>
      <c r="G50" s="40">
        <v>9.0</v>
      </c>
    </row>
    <row r="51" ht="12.75" customHeight="1">
      <c r="A51" s="37" t="s">
        <v>94</v>
      </c>
      <c r="B51" s="37" t="s">
        <v>95</v>
      </c>
      <c r="C51" s="38">
        <v>119345.0</v>
      </c>
      <c r="D51" s="38">
        <v>0.0</v>
      </c>
      <c r="E51" s="38">
        <v>0.0</v>
      </c>
      <c r="F51" s="39" t="s">
        <v>32</v>
      </c>
      <c r="G51" s="40">
        <v>0.0</v>
      </c>
    </row>
    <row r="52" ht="12.75" customHeight="1">
      <c r="A52" s="37" t="s">
        <v>96</v>
      </c>
      <c r="B52" s="37" t="s">
        <v>97</v>
      </c>
      <c r="C52" s="38">
        <v>456736.0</v>
      </c>
      <c r="D52" s="38">
        <v>16411.0</v>
      </c>
      <c r="E52" s="38">
        <v>47583.0</v>
      </c>
      <c r="F52" s="39">
        <v>0.345</v>
      </c>
      <c r="G52" s="40">
        <v>35.0</v>
      </c>
    </row>
    <row r="53" ht="12.75" customHeight="1">
      <c r="A53" s="37" t="s">
        <v>98</v>
      </c>
      <c r="B53" s="37" t="s">
        <v>99</v>
      </c>
      <c r="C53" s="38">
        <v>700212.0</v>
      </c>
      <c r="D53" s="38">
        <v>7903.0</v>
      </c>
      <c r="E53" s="38">
        <v>186286.0</v>
      </c>
      <c r="F53" s="39">
        <v>0.042</v>
      </c>
      <c r="G53" s="40">
        <v>3.0</v>
      </c>
    </row>
    <row r="54" ht="12.75" customHeight="1">
      <c r="A54" s="37" t="s">
        <v>100</v>
      </c>
      <c r="B54" s="37" t="s">
        <v>101</v>
      </c>
      <c r="C54" s="38">
        <v>569106.0</v>
      </c>
      <c r="D54" s="38">
        <v>4399.0</v>
      </c>
      <c r="E54" s="38">
        <v>62439.0</v>
      </c>
      <c r="F54" s="39">
        <v>0.07</v>
      </c>
      <c r="G54" s="40">
        <v>3.0</v>
      </c>
    </row>
    <row r="55" ht="12.75" customHeight="1">
      <c r="A55" s="37" t="s">
        <v>102</v>
      </c>
      <c r="B55" s="37" t="s">
        <v>52</v>
      </c>
      <c r="C55" s="38">
        <v>485873.0</v>
      </c>
      <c r="D55" s="38">
        <v>68758.0</v>
      </c>
      <c r="E55" s="38">
        <v>189436.0</v>
      </c>
      <c r="F55" s="39">
        <v>0.363</v>
      </c>
      <c r="G55" s="40">
        <v>90.0</v>
      </c>
    </row>
    <row r="56" ht="12.75" customHeight="1">
      <c r="A56" s="42"/>
      <c r="B56" s="42"/>
      <c r="C56" s="38"/>
      <c r="D56" s="38"/>
      <c r="E56" s="38"/>
      <c r="F56" s="39"/>
      <c r="G56" s="4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2" t="s">
        <v>1</v>
      </c>
      <c r="B1" s="4" t="s">
        <v>3</v>
      </c>
      <c r="C1" s="4" t="s">
        <v>5</v>
      </c>
      <c r="D1" s="2" t="s">
        <v>6</v>
      </c>
    </row>
    <row r="2" ht="12.75" customHeight="1">
      <c r="A2" s="7" t="s">
        <v>7</v>
      </c>
      <c r="B2" s="9" t="s">
        <v>7</v>
      </c>
      <c r="C2" s="11" t="s">
        <v>7</v>
      </c>
      <c r="D2" s="9" t="s">
        <v>7</v>
      </c>
    </row>
    <row r="3" ht="12.75" customHeight="1">
      <c r="A3" s="7"/>
      <c r="B3" s="12"/>
      <c r="C3" s="13"/>
      <c r="D3" s="12" t="s">
        <v>9</v>
      </c>
    </row>
    <row r="4" ht="12.75" customHeight="1">
      <c r="A4" s="14"/>
      <c r="B4" s="15"/>
      <c r="C4" s="16"/>
      <c r="D4" s="17"/>
    </row>
    <row r="5" ht="12.75" customHeight="1">
      <c r="A5" s="18"/>
      <c r="B5" s="15"/>
      <c r="C5" s="16"/>
      <c r="D5" s="17"/>
    </row>
  </sheetData>
  <drawing r:id="rId1"/>
</worksheet>
</file>