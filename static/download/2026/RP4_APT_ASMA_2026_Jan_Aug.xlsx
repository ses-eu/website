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<sst xmlns="http://schemas.openxmlformats.org/spreadsheetml/2006/main" count="147" uniqueCount="122">
  <si>
    <t>Change date</t>
  </si>
  <si>
    <t>Data source</t>
  </si>
  <si>
    <t>Entity</t>
  </si>
  <si>
    <t>Period</t>
  </si>
  <si>
    <t>Comment</t>
  </si>
  <si>
    <t>EUROCONTROL</t>
  </si>
  <si>
    <t>Period Start</t>
  </si>
  <si>
    <t>EDDS</t>
  </si>
  <si>
    <t>Stuttgart added</t>
  </si>
  <si>
    <t>Meta data</t>
  </si>
  <si>
    <t xml:space="preserve">   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</si>
  <si>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</si>
  <si>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</si>
  <si>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</si>
  <si>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</si>
  <si>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</si>
  <si>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</si>
  <si>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</si>
  <si>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JAN-AUG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</si>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</sst>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d-mm-yyyy"/>
    <numFmt numFmtId="166" formatCode="m/d/yyyy"/>
    <numFmt numFmtId="167" formatCode="d mmm yyyy"/>
  </numFmts>
  <fonts count="13">
    <font>
      <sz val="10.0"/>
      <color rgb="FF000000"/>
      <name val="Arial"/>
    </font>
    <font>
      <sz val="9.0"/>
      <color rgb="FFF3F3F3"/>
      <name val="Calibri"/>
    </font>
    <font>
      <b/>
      <sz val="9.0"/>
      <color rgb="FF396EA2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0" xfId="0" applyAlignment="1" applyFill="1" applyFont="1">
      <alignment horizontal="center" shrinkToFit="0" wrapText="0"/>
    </xf>
    <xf borderId="1" fillId="3" fontId="2" numFmtId="0" xfId="0" applyAlignment="1" applyBorder="1" applyFill="1" applyFont="1">
      <alignment shrinkToFit="0" wrapText="0"/>
    </xf>
    <xf borderId="2" fillId="3" fontId="3" numFmtId="49" xfId="0" applyAlignment="1" applyBorder="1" applyFill="1" applyFont="1" applyNumberFormat="1">
      <alignment readingOrder="0"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2" fillId="3" fontId="3" numFmtId="164" xfId="0" applyAlignment="1" applyBorder="1" applyFill="1" applyFont="1" applyNumberFormat="1">
      <alignment horizontal="left" vertical="bottom"/>
    </xf>
    <xf borderId="0" fillId="4" fontId="4" numFmtId="165" xfId="0" applyAlignment="1" applyFill="1" applyFont="1" applyNumberFormat="1">
      <alignment horizontal="center" readingOrder="0" shrinkToFit="0" vertical="bottom" wrapText="0"/>
    </xf>
    <xf borderId="0" fillId="4" fontId="5" numFmtId="0" xfId="0" applyAlignment="1" applyFill="1" applyFont="1">
      <alignment readingOrder="0" vertical="bottom"/>
    </xf>
    <xf borderId="0" fillId="4" fontId="5" numFmtId="0" xfId="0" applyAlignment="1" applyFill="1" applyFont="1">
      <alignment horizontal="center" readingOrder="0" shrinkToFit="0" vertical="bottom" wrapText="0"/>
    </xf>
    <xf borderId="2" fillId="3" fontId="3" numFmtId="164" xfId="0" applyAlignment="1" applyBorder="1" applyFill="1" applyFont="1" applyNumberFormat="1">
      <alignment horizontal="left" readingOrder="0" vertical="bottom"/>
    </xf>
    <xf borderId="2" fillId="3" fontId="2" numFmtId="0" xfId="0" applyAlignment="1" applyBorder="1" applyFill="1" applyFont="1">
      <alignment shrinkToFit="0" wrapText="0"/>
    </xf>
    <xf borderId="0" fillId="4" fontId="4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4" fontId="5" numFmtId="17" xfId="0" applyAlignment="1" applyFill="1" applyFont="1" applyNumberFormat="1">
      <alignment vertical="bottom"/>
    </xf>
    <xf borderId="0" fillId="4" fontId="5" numFmtId="0" xfId="0" applyAlignment="1" applyFill="1" applyFont="1">
      <alignment horizontal="center" shrinkToFit="0" vertical="bottom" wrapText="0"/>
    </xf>
    <xf borderId="0" fillId="4" fontId="4" numFmtId="164" xfId="0" applyAlignment="1" applyFill="1" applyFont="1" applyNumberFormat="1">
      <alignment horizontal="center" shrinkToFit="0" vertical="bottom" wrapText="0"/>
    </xf>
    <xf borderId="0" fillId="4" fontId="5" numFmtId="0" xfId="0" applyAlignment="1" applyFill="1" applyFont="1">
      <alignment vertical="bottom"/>
    </xf>
    <xf borderId="2" fillId="3" fontId="6" numFmtId="166" xfId="0" applyAlignment="1" applyBorder="1" applyFill="1" applyFont="1" applyNumberFormat="1">
      <alignment horizontal="left" shrinkToFit="0" wrapText="0"/>
    </xf>
    <xf borderId="3" fillId="3" fontId="2" numFmtId="0" xfId="0" applyAlignment="1" applyBorder="1" applyFill="1" applyFont="1">
      <alignment shrinkToFit="0" wrapText="0"/>
    </xf>
    <xf borderId="4" fillId="0" fontId="7" numFmtId="167" xfId="0" applyAlignment="1" applyBorder="1" applyFont="1" applyNumberFormat="1">
      <alignment horizontal="left" readingOrder="0" vertical="bottom"/>
    </xf>
    <xf borderId="5" fillId="3" fontId="2" numFmtId="0" xfId="0" applyAlignment="1" applyBorder="1" applyFill="1" applyFont="1">
      <alignment vertical="bottom"/>
    </xf>
    <xf borderId="5" fillId="3" fontId="3" numFmtId="164" xfId="0" applyAlignment="1" applyBorder="1" applyFill="1" applyFont="1" applyNumberFormat="1">
      <alignment horizontal="left" vertical="bottom"/>
    </xf>
    <xf borderId="5" fillId="3" fontId="3" numFmtId="167" xfId="0" applyAlignment="1" applyBorder="1" applyFill="1" applyFont="1" applyNumberFormat="1">
      <alignment horizontal="left" readingOrder="0" vertical="bottom"/>
    </xf>
    <xf borderId="5" fillId="3" fontId="2" numFmtId="0" xfId="0" applyAlignment="1" applyBorder="1" applyFill="1" applyFont="1">
      <alignment shrinkToFit="0" wrapText="0"/>
    </xf>
    <xf borderId="5" fillId="3" fontId="8" numFmtId="0" xfId="0" applyAlignment="1" applyBorder="1" applyFill="1" applyFont="1">
      <alignment horizontal="left" readingOrder="0" shrinkToFit="0" wrapText="0"/>
    </xf>
    <xf borderId="6" fillId="4" fontId="9" numFmtId="0" xfId="0" applyAlignment="1" applyBorder="1" applyFill="1" applyFont="1">
      <alignment shrinkToFit="0" wrapText="0"/>
    </xf>
    <xf borderId="6" fillId="4" fontId="5" numFmtId="0" xfId="0" applyAlignment="1" applyBorder="1" applyFill="1" applyFont="1">
      <alignment shrinkToFit="0" wrapText="1"/>
    </xf>
    <xf borderId="6" fillId="4" fontId="5" numFmtId="0" xfId="0" applyAlignment="1" applyBorder="1" applyFill="1" applyFont="1">
      <alignment readingOrder="0" shrinkToFit="0" wrapText="1"/>
    </xf>
    <xf borderId="7" fillId="4" fontId="10" numFmtId="0" xfId="0" applyAlignment="1" applyBorder="1" applyFill="1" applyFont="1">
      <alignment readingOrder="0" shrinkToFit="0" vertical="center" wrapText="0"/>
    </xf>
    <xf borderId="5" fillId="4" fontId="5" numFmtId="0" xfId="0" applyAlignment="1" applyBorder="1" applyFill="1" applyFont="1">
      <alignment shrinkToFit="0" wrapText="1"/>
    </xf>
    <xf borderId="4" fillId="4" fontId="5" numFmtId="0" xfId="0" applyAlignment="1" applyBorder="1" applyFill="1" applyFont="1">
      <alignment shrinkToFit="0" wrapText="1"/>
    </xf>
    <xf borderId="4" fillId="4" fontId="11" numFmtId="0" xfId="0" applyAlignment="1" applyBorder="1" applyFill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7" fillId="2" fontId="1" numFmtId="0" xfId="0" applyAlignment="1" applyBorder="1" applyFill="1" applyFont="1">
      <alignment readingOrder="0" shrinkToFit="0" wrapText="0"/>
    </xf>
    <xf borderId="0" fillId="2" fontId="1" numFmtId="0" xfId="0" applyAlignment="1" applyFill="1" applyFont="1">
      <alignment horizontal="left" shrinkToFit="0" wrapText="0"/>
    </xf>
    <xf borderId="7" fillId="4" fontId="5" numFmtId="2" xfId="0" applyAlignment="1" applyBorder="1" applyFill="1" applyFont="1" applyNumberFormat="1">
      <alignment readingOrder="0" vertical="bottom"/>
    </xf>
    <xf borderId="7" fillId="4" fontId="5" numFmtId="3" xfId="0" applyAlignment="1" applyBorder="1" applyFill="1" applyFont="1" applyNumberFormat="1">
      <alignment horizontal="right" readingOrder="0" shrinkToFit="0" vertical="center" wrapText="0"/>
    </xf>
    <xf borderId="7" fillId="4" fontId="5" numFmtId="4" xfId="0" applyAlignment="1" applyBorder="1" applyFill="1" applyFont="1" applyNumberFormat="1">
      <alignment horizontal="right" readingOrder="0" shrinkToFit="0" vertical="center" wrapText="0"/>
    </xf>
    <xf borderId="7" fillId="4" fontId="5" numFmtId="0" xfId="0" applyAlignment="1" applyBorder="1" applyFill="1" applyFont="1">
      <alignment readingOrder="0" vertical="bottom"/>
    </xf>
    <xf borderId="7" fillId="4" fontId="5" numFmtId="3" xfId="0" applyAlignment="1" applyBorder="1" applyFill="1" applyFont="1" applyNumberFormat="1">
      <alignment readingOrder="0" shrinkToFit="0" vertical="center" wrapText="0"/>
    </xf>
    <xf borderId="7" fillId="4" fontId="5" numFmtId="4" xfId="0" applyAlignment="1" applyBorder="1" applyFill="1" applyFont="1" applyNumberFormat="1">
      <alignment readingOrder="0" shrinkToFit="0" vertical="center" wrapText="0"/>
    </xf>
    <xf borderId="7" fillId="4" fontId="5" numFmtId="2" xfId="0" applyAlignment="1" applyBorder="1" applyFill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3" t="s">
        <v>1</v>
      </c>
      <c r="B1" s="4" t="s">
        <v>5</v>
      </c>
      <c r="C1" s="5" t="s">
        <v>6</v>
      </c>
      <c r="D1" s="6"/>
      <c r="E1" s="10">
        <v>46023.0</v>
      </c>
      <c r="F1" s="11" t="s">
        <v>9</v>
      </c>
      <c r="G1" s="20" t="str">
        <f>HYPERLINK("https://www.eurocontrol.int/prudata/dashboard/metadata/additional-asma-time/","ASMA additional time")</f>
        <v>ASMA additional time</v>
      </c>
    </row>
    <row r="2" ht="12.75" customHeight="1">
      <c r="A2" s="21" t="s">
        <v>11</v>
      </c>
      <c r="B2" s="22">
        <v>46311.0</v>
      </c>
      <c r="C2" s="23" t="s">
        <v>12</v>
      </c>
      <c r="D2" s="24"/>
      <c r="E2" s="25">
        <v>46265.0</v>
      </c>
      <c r="F2" s="26" t="s">
        <v>13</v>
      </c>
      <c r="G2" s="27" t="s">
        <v>14</v>
      </c>
    </row>
    <row r="3" ht="12.75" customHeight="1">
      <c r="A3" s="28" t="s">
        <v>15</v>
      </c>
      <c r="B3" s="29"/>
      <c r="C3" s="29"/>
      <c r="D3" s="29"/>
      <c r="E3" s="30" t="s">
        <v>16</v>
      </c>
      <c r="F3" s="30" t="s">
        <v>16</v>
      </c>
      <c r="G3" s="30" t="s">
        <v>17</v>
      </c>
    </row>
    <row r="4" ht="12.75" customHeight="1">
      <c r="A4" s="31" t="s">
        <v>18</v>
      </c>
      <c r="B4" s="32"/>
      <c r="C4" s="33"/>
      <c r="D4" s="34"/>
      <c r="E4" s="34" t="s">
        <v>16</v>
      </c>
      <c r="F4" s="35"/>
      <c r="G4" s="36" t="s">
        <v>16</v>
      </c>
    </row>
    <row r="5" ht="12.75" customHeight="1">
      <c r="A5" s="37" t="s">
        <v>19</v>
      </c>
      <c r="B5" s="37" t="s">
        <v>20</v>
      </c>
      <c r="C5" s="37" t="s">
        <v>21</v>
      </c>
      <c r="D5" s="38" t="s">
        <v>22</v>
      </c>
      <c r="E5" s="37" t="s">
        <v>23</v>
      </c>
      <c r="F5" s="37" t="s">
        <v>24</v>
      </c>
      <c r="G5" s="37" t="s">
        <v>25</v>
      </c>
    </row>
    <row r="6" ht="12.75" customHeight="1">
      <c r="A6" s="39" t="s">
        <v>26</v>
      </c>
      <c r="B6" s="39" t="s">
        <v>27</v>
      </c>
      <c r="C6" s="8" t="s">
        <v>28</v>
      </c>
      <c r="D6" s="40">
        <v>52836.0</v>
      </c>
      <c r="E6" s="41">
        <f t="shared" ref="E6:E16" si="1">F6/D6</f>
        <v>2.370018359</v>
      </c>
      <c r="F6" s="40">
        <v>125222.29</v>
      </c>
      <c r="G6" s="41">
        <v>11.46</v>
      </c>
    </row>
    <row r="7" ht="12.75" customHeight="1">
      <c r="A7" s="39" t="s">
        <v>29</v>
      </c>
      <c r="B7" s="39" t="s">
        <v>30</v>
      </c>
      <c r="C7" s="42" t="s">
        <v>31</v>
      </c>
      <c r="D7" s="40">
        <v>52659.0</v>
      </c>
      <c r="E7" s="41">
        <f t="shared" si="1"/>
        <v>2.345311043</v>
      </c>
      <c r="F7" s="40">
        <v>123501.7342</v>
      </c>
      <c r="G7" s="41">
        <v>11.75</v>
      </c>
    </row>
    <row r="8" ht="12.75" customHeight="1">
      <c r="A8" s="39" t="s">
        <v>32</v>
      </c>
      <c r="B8" s="39" t="s">
        <v>33</v>
      </c>
      <c r="C8" s="42" t="s">
        <v>31</v>
      </c>
      <c r="D8" s="40">
        <v>129233.0</v>
      </c>
      <c r="E8" s="41">
        <f t="shared" si="1"/>
        <v>2.800428244</v>
      </c>
      <c r="F8" s="40">
        <v>361907.7433</v>
      </c>
      <c r="G8" s="41">
        <v>12.74</v>
      </c>
    </row>
    <row r="9" ht="12.75" customHeight="1">
      <c r="A9" s="39" t="s">
        <v>34</v>
      </c>
      <c r="B9" s="39" t="s">
        <v>35</v>
      </c>
      <c r="C9" s="42" t="s">
        <v>31</v>
      </c>
      <c r="D9" s="40">
        <v>32150.0</v>
      </c>
      <c r="E9" s="41">
        <f t="shared" si="1"/>
        <v>2.358477864</v>
      </c>
      <c r="F9" s="40">
        <v>75825.06334</v>
      </c>
      <c r="G9" s="41">
        <v>12.29</v>
      </c>
    </row>
    <row r="10" ht="12.75" customHeight="1">
      <c r="A10" s="39" t="s">
        <v>36</v>
      </c>
      <c r="B10" s="39" t="s">
        <v>37</v>
      </c>
      <c r="C10" s="42" t="s">
        <v>31</v>
      </c>
      <c r="D10" s="40">
        <v>17608.0</v>
      </c>
      <c r="E10" s="41">
        <f t="shared" si="1"/>
        <v>1.857075951</v>
      </c>
      <c r="F10" s="40">
        <v>32699.39334</v>
      </c>
      <c r="G10" s="41">
        <v>12.16</v>
      </c>
    </row>
    <row r="11" ht="12.75" customHeight="1">
      <c r="A11" s="39" t="s">
        <v>38</v>
      </c>
      <c r="B11" s="39" t="s">
        <v>39</v>
      </c>
      <c r="C11" s="42" t="s">
        <v>31</v>
      </c>
      <c r="D11" s="40">
        <v>43644.0</v>
      </c>
      <c r="E11" s="41">
        <f t="shared" si="1"/>
        <v>1.770910205</v>
      </c>
      <c r="F11" s="40">
        <v>77289.605</v>
      </c>
      <c r="G11" s="41">
        <v>12.02</v>
      </c>
    </row>
    <row r="12" ht="12.75" customHeight="1">
      <c r="A12" s="39" t="s">
        <v>40</v>
      </c>
      <c r="B12" s="39" t="s">
        <v>41</v>
      </c>
      <c r="C12" s="42" t="s">
        <v>31</v>
      </c>
      <c r="D12" s="40">
        <v>91558.0</v>
      </c>
      <c r="E12" s="41">
        <f t="shared" si="1"/>
        <v>2.610830485</v>
      </c>
      <c r="F12" s="40">
        <v>239042.4175</v>
      </c>
      <c r="G12" s="41">
        <v>11.54</v>
      </c>
    </row>
    <row r="13" ht="12.75" customHeight="1">
      <c r="A13" s="39" t="s">
        <v>42</v>
      </c>
      <c r="B13" s="39" t="s">
        <v>43</v>
      </c>
      <c r="C13" s="42" t="s">
        <v>44</v>
      </c>
      <c r="D13" s="40">
        <v>34188.0</v>
      </c>
      <c r="E13" s="41">
        <f t="shared" si="1"/>
        <v>2.369345335</v>
      </c>
      <c r="F13" s="40">
        <v>81003.17833</v>
      </c>
      <c r="G13" s="41">
        <v>11.08</v>
      </c>
    </row>
    <row r="14" ht="12.75" customHeight="1">
      <c r="A14" s="39" t="s">
        <v>45</v>
      </c>
      <c r="B14" s="39" t="s">
        <v>46</v>
      </c>
      <c r="C14" s="42" t="s">
        <v>47</v>
      </c>
      <c r="D14" s="40">
        <v>139890.0</v>
      </c>
      <c r="E14" s="41">
        <f t="shared" si="1"/>
        <v>2.178338414</v>
      </c>
      <c r="F14" s="40">
        <v>304727.7608</v>
      </c>
      <c r="G14" s="41">
        <v>11.88</v>
      </c>
    </row>
    <row r="15" ht="12.75" customHeight="1">
      <c r="A15" s="39" t="s">
        <v>48</v>
      </c>
      <c r="B15" s="39" t="s">
        <v>49</v>
      </c>
      <c r="C15" s="42" t="s">
        <v>50</v>
      </c>
      <c r="D15" s="40">
        <v>69546.0</v>
      </c>
      <c r="E15" s="41">
        <f t="shared" si="1"/>
        <v>3.957235618</v>
      </c>
      <c r="F15" s="40">
        <v>275209.9083</v>
      </c>
      <c r="G15" s="41">
        <v>12.15</v>
      </c>
    </row>
    <row r="16" ht="12.75" customHeight="1">
      <c r="A16" s="39" t="s">
        <v>51</v>
      </c>
      <c r="B16" s="39" t="s">
        <v>52</v>
      </c>
      <c r="C16" s="42" t="s">
        <v>53</v>
      </c>
      <c r="D16" s="40">
        <v>70256.0</v>
      </c>
      <c r="E16" s="41">
        <f t="shared" si="1"/>
        <v>2.665471988</v>
      </c>
      <c r="F16" s="40">
        <v>187265.4</v>
      </c>
      <c r="G16" s="41">
        <v>11.78</v>
      </c>
    </row>
    <row r="17" ht="12.75" customHeight="1">
      <c r="A17" s="39" t="s">
        <v>54</v>
      </c>
      <c r="B17" s="39" t="s">
        <v>55</v>
      </c>
      <c r="C17" s="42" t="s">
        <v>56</v>
      </c>
      <c r="D17" s="41" t="s">
        <v>57</v>
      </c>
      <c r="E17" s="41" t="s">
        <v>57</v>
      </c>
      <c r="F17" s="41" t="s">
        <v>57</v>
      </c>
      <c r="G17" s="41" t="s">
        <v>57</v>
      </c>
    </row>
    <row r="18" ht="12.75" customHeight="1">
      <c r="A18" s="39" t="s">
        <v>58</v>
      </c>
      <c r="B18" s="39" t="s">
        <v>59</v>
      </c>
      <c r="C18" s="42" t="s">
        <v>56</v>
      </c>
      <c r="D18" s="40">
        <v>63201.0</v>
      </c>
      <c r="E18" s="41">
        <f t="shared" ref="E18:E43" si="2">F18/D18</f>
        <v>2.442026933</v>
      </c>
      <c r="F18" s="40">
        <v>154338.5442</v>
      </c>
      <c r="G18" s="41">
        <v>12.13</v>
      </c>
    </row>
    <row r="19" ht="12.75" customHeight="1">
      <c r="A19" s="39" t="s">
        <v>60</v>
      </c>
      <c r="B19" s="39" t="s">
        <v>61</v>
      </c>
      <c r="C19" s="42" t="s">
        <v>62</v>
      </c>
      <c r="D19" s="40">
        <v>55727.0</v>
      </c>
      <c r="E19" s="41">
        <f t="shared" si="2"/>
        <v>3.048789397</v>
      </c>
      <c r="F19" s="40">
        <v>169899.8867</v>
      </c>
      <c r="G19" s="41">
        <v>10.97</v>
      </c>
    </row>
    <row r="20" ht="12.75" customHeight="1">
      <c r="A20" s="39" t="s">
        <v>63</v>
      </c>
      <c r="B20" s="39" t="s">
        <v>64</v>
      </c>
      <c r="C20" s="42" t="s">
        <v>65</v>
      </c>
      <c r="D20" s="40">
        <v>53787.0</v>
      </c>
      <c r="E20" s="41">
        <f t="shared" si="2"/>
        <v>2.168402294</v>
      </c>
      <c r="F20" s="40">
        <v>116631.8542</v>
      </c>
      <c r="G20" s="41">
        <v>11.89</v>
      </c>
    </row>
    <row r="21" ht="12.75" customHeight="1">
      <c r="A21" s="39" t="s">
        <v>66</v>
      </c>
      <c r="B21" s="39" t="s">
        <v>67</v>
      </c>
      <c r="C21" s="42" t="s">
        <v>68</v>
      </c>
      <c r="D21" s="40">
        <v>34781.0</v>
      </c>
      <c r="E21" s="41">
        <f t="shared" si="2"/>
        <v>3.267612323</v>
      </c>
      <c r="F21" s="40">
        <v>113650.8242</v>
      </c>
      <c r="G21" s="41">
        <v>13.04</v>
      </c>
    </row>
    <row r="22" ht="12.75" customHeight="1">
      <c r="A22" s="39" t="s">
        <v>69</v>
      </c>
      <c r="B22" s="39" t="s">
        <v>70</v>
      </c>
      <c r="C22" s="42" t="s">
        <v>68</v>
      </c>
      <c r="D22" s="40">
        <v>37670.0</v>
      </c>
      <c r="E22" s="41">
        <f t="shared" si="2"/>
        <v>2.863277298</v>
      </c>
      <c r="F22" s="40">
        <v>107859.6558</v>
      </c>
      <c r="G22" s="41">
        <v>12.14</v>
      </c>
    </row>
    <row r="23" ht="12.75" customHeight="1">
      <c r="A23" s="39" t="s">
        <v>71</v>
      </c>
      <c r="B23" s="39" t="s">
        <v>72</v>
      </c>
      <c r="C23" s="42" t="s">
        <v>68</v>
      </c>
      <c r="D23" s="40">
        <v>99610.0</v>
      </c>
      <c r="E23" s="41">
        <f t="shared" si="2"/>
        <v>3.724864781</v>
      </c>
      <c r="F23" s="40">
        <v>371033.7808</v>
      </c>
      <c r="G23" s="41">
        <v>12.04</v>
      </c>
    </row>
    <row r="24" ht="12.75" customHeight="1">
      <c r="A24" s="39" t="s">
        <v>73</v>
      </c>
      <c r="B24" s="39" t="s">
        <v>74</v>
      </c>
      <c r="C24" s="42" t="s">
        <v>68</v>
      </c>
      <c r="D24" s="40">
        <v>117455.0</v>
      </c>
      <c r="E24" s="41">
        <f t="shared" si="2"/>
        <v>2.771821634</v>
      </c>
      <c r="F24" s="40">
        <v>325564.31</v>
      </c>
      <c r="G24" s="41">
        <v>11.75</v>
      </c>
    </row>
    <row r="25" ht="12.75" customHeight="1">
      <c r="A25" s="39" t="s">
        <v>75</v>
      </c>
      <c r="B25" s="39" t="s">
        <v>76</v>
      </c>
      <c r="C25" s="42" t="s">
        <v>68</v>
      </c>
      <c r="D25" s="40">
        <v>52722.0</v>
      </c>
      <c r="E25" s="41">
        <f t="shared" si="2"/>
        <v>3.399774984</v>
      </c>
      <c r="F25" s="40">
        <v>179242.9367</v>
      </c>
      <c r="G25" s="41">
        <v>12.4</v>
      </c>
    </row>
    <row r="26" ht="12.75" customHeight="1">
      <c r="A26" s="39" t="s">
        <v>77</v>
      </c>
      <c r="B26" s="39" t="s">
        <v>78</v>
      </c>
      <c r="C26" s="42" t="s">
        <v>68</v>
      </c>
      <c r="D26" s="40">
        <v>66995.0</v>
      </c>
      <c r="E26" s="41">
        <f t="shared" si="2"/>
        <v>2.631583339</v>
      </c>
      <c r="F26" s="40">
        <v>176302.9258</v>
      </c>
      <c r="G26" s="41">
        <v>11.82</v>
      </c>
    </row>
    <row r="27" ht="12.75" customHeight="1">
      <c r="A27" s="39" t="s">
        <v>79</v>
      </c>
      <c r="B27" s="39" t="s">
        <v>80</v>
      </c>
      <c r="C27" s="42" t="s">
        <v>81</v>
      </c>
      <c r="D27" s="40">
        <v>25124.0</v>
      </c>
      <c r="E27" s="41">
        <f t="shared" si="2"/>
        <v>3.497053249</v>
      </c>
      <c r="F27" s="40">
        <v>87859.96583</v>
      </c>
      <c r="G27" s="41">
        <v>9.11</v>
      </c>
    </row>
    <row r="28" ht="12.75" customHeight="1">
      <c r="A28" s="39" t="s">
        <v>82</v>
      </c>
      <c r="B28" s="39" t="s">
        <v>83</v>
      </c>
      <c r="C28" s="42" t="s">
        <v>81</v>
      </c>
      <c r="D28" s="40">
        <v>47801.0</v>
      </c>
      <c r="E28" s="41">
        <f t="shared" si="2"/>
        <v>4.034911054</v>
      </c>
      <c r="F28" s="40">
        <v>192872.7833</v>
      </c>
      <c r="G28" s="41">
        <v>12.38</v>
      </c>
    </row>
    <row r="29" ht="12.75" customHeight="1">
      <c r="A29" s="39" t="s">
        <v>84</v>
      </c>
      <c r="B29" s="39" t="s">
        <v>85</v>
      </c>
      <c r="C29" s="42" t="s">
        <v>81</v>
      </c>
      <c r="D29" s="40">
        <v>129128.0</v>
      </c>
      <c r="E29" s="41">
        <f t="shared" si="2"/>
        <v>2.327343624</v>
      </c>
      <c r="F29" s="40">
        <v>300525.2275</v>
      </c>
      <c r="G29" s="41">
        <v>13.57</v>
      </c>
    </row>
    <row r="30" ht="12.75" customHeight="1">
      <c r="A30" s="39" t="s">
        <v>86</v>
      </c>
      <c r="B30" s="39" t="s">
        <v>87</v>
      </c>
      <c r="C30" s="42" t="s">
        <v>81</v>
      </c>
      <c r="D30" s="40">
        <v>54154.0</v>
      </c>
      <c r="E30" s="41">
        <f t="shared" si="2"/>
        <v>2.257661838</v>
      </c>
      <c r="F30" s="40">
        <v>122261.4192</v>
      </c>
      <c r="G30" s="41">
        <v>12.49</v>
      </c>
    </row>
    <row r="31" ht="12.75" customHeight="1">
      <c r="A31" s="39" t="s">
        <v>88</v>
      </c>
      <c r="B31" s="39" t="s">
        <v>89</v>
      </c>
      <c r="C31" s="42" t="s">
        <v>90</v>
      </c>
      <c r="D31" s="40">
        <v>66032.0</v>
      </c>
      <c r="E31" s="41">
        <f t="shared" si="2"/>
        <v>3.307863384</v>
      </c>
      <c r="F31" s="40">
        <v>218424.835</v>
      </c>
      <c r="G31" s="41">
        <v>11.72</v>
      </c>
    </row>
    <row r="32" ht="12.75" customHeight="1">
      <c r="A32" s="39" t="s">
        <v>91</v>
      </c>
      <c r="B32" s="39" t="s">
        <v>92</v>
      </c>
      <c r="C32" s="42" t="s">
        <v>93</v>
      </c>
      <c r="D32" s="40">
        <v>35653.0</v>
      </c>
      <c r="E32" s="41">
        <f t="shared" si="2"/>
        <v>2.244973915</v>
      </c>
      <c r="F32" s="40">
        <v>80040.05499</v>
      </c>
      <c r="G32" s="41">
        <v>12.17</v>
      </c>
    </row>
    <row r="33" ht="12.75" customHeight="1">
      <c r="A33" s="39" t="s">
        <v>94</v>
      </c>
      <c r="B33" s="39" t="s">
        <v>95</v>
      </c>
      <c r="C33" s="42" t="s">
        <v>96</v>
      </c>
      <c r="D33" s="40">
        <v>55748.0</v>
      </c>
      <c r="E33" s="41">
        <f t="shared" si="2"/>
        <v>3.810221429</v>
      </c>
      <c r="F33" s="40">
        <v>212412.2242</v>
      </c>
      <c r="G33" s="41">
        <v>11.09</v>
      </c>
    </row>
    <row r="34" ht="12.75" customHeight="1">
      <c r="A34" s="39" t="s">
        <v>97</v>
      </c>
      <c r="B34" s="39" t="s">
        <v>98</v>
      </c>
      <c r="C34" s="42" t="s">
        <v>96</v>
      </c>
      <c r="D34" s="40">
        <v>28154.0</v>
      </c>
      <c r="E34" s="41">
        <f t="shared" si="2"/>
        <v>2.621753658</v>
      </c>
      <c r="F34" s="40">
        <v>73812.8525</v>
      </c>
      <c r="G34" s="41">
        <v>11.84</v>
      </c>
    </row>
    <row r="35" ht="12.75" customHeight="1">
      <c r="A35" s="39" t="s">
        <v>99</v>
      </c>
      <c r="B35" s="39" t="s">
        <v>100</v>
      </c>
      <c r="C35" s="42" t="s">
        <v>96</v>
      </c>
      <c r="D35" s="40">
        <v>36940.0</v>
      </c>
      <c r="E35" s="41">
        <f t="shared" si="2"/>
        <v>3.120154597</v>
      </c>
      <c r="F35" s="40">
        <v>115258.5108</v>
      </c>
      <c r="G35" s="41">
        <v>10.61</v>
      </c>
    </row>
    <row r="36" ht="12.75" customHeight="1">
      <c r="A36" s="39" t="s">
        <v>101</v>
      </c>
      <c r="B36" s="39" t="s">
        <v>102</v>
      </c>
      <c r="C36" s="42" t="s">
        <v>96</v>
      </c>
      <c r="D36" s="40">
        <v>92199.0</v>
      </c>
      <c r="E36" s="41">
        <f t="shared" si="2"/>
        <v>3.302139991</v>
      </c>
      <c r="F36" s="40">
        <v>304454.005</v>
      </c>
      <c r="G36" s="41">
        <v>10.83</v>
      </c>
    </row>
    <row r="37" ht="12.75" customHeight="1">
      <c r="A37" s="39" t="s">
        <v>103</v>
      </c>
      <c r="B37" s="39" t="s">
        <v>104</v>
      </c>
      <c r="C37" s="42" t="s">
        <v>105</v>
      </c>
      <c r="D37" s="40">
        <v>39657.0</v>
      </c>
      <c r="E37" s="41">
        <f t="shared" si="2"/>
        <v>2.555269751</v>
      </c>
      <c r="F37" s="40">
        <v>101334.3325</v>
      </c>
      <c r="G37" s="41">
        <v>11.01</v>
      </c>
    </row>
    <row r="38" ht="12.75" customHeight="1">
      <c r="A38" s="39" t="s">
        <v>106</v>
      </c>
      <c r="B38" s="39" t="s">
        <v>107</v>
      </c>
      <c r="C38" s="42" t="s">
        <v>108</v>
      </c>
      <c r="D38" s="40">
        <v>68702.0</v>
      </c>
      <c r="E38" s="41">
        <f t="shared" si="2"/>
        <v>2.513481206</v>
      </c>
      <c r="F38" s="40">
        <v>172681.1858</v>
      </c>
      <c r="G38" s="41">
        <v>11.05</v>
      </c>
    </row>
    <row r="39" ht="12.75" customHeight="1">
      <c r="A39" s="39" t="s">
        <v>109</v>
      </c>
      <c r="B39" s="39" t="s">
        <v>110</v>
      </c>
      <c r="C39" s="42" t="s">
        <v>111</v>
      </c>
      <c r="D39" s="40">
        <v>32196.0</v>
      </c>
      <c r="E39" s="41">
        <f t="shared" si="2"/>
        <v>2.940033984</v>
      </c>
      <c r="F39" s="40">
        <v>94657.33416</v>
      </c>
      <c r="G39" s="41">
        <v>11.77</v>
      </c>
    </row>
    <row r="40" ht="12.75" customHeight="1">
      <c r="A40" s="39" t="s">
        <v>112</v>
      </c>
      <c r="B40" s="39" t="s">
        <v>113</v>
      </c>
      <c r="C40" s="42" t="s">
        <v>111</v>
      </c>
      <c r="D40" s="40">
        <v>61800.0</v>
      </c>
      <c r="E40" s="41">
        <f t="shared" si="2"/>
        <v>4.766385181</v>
      </c>
      <c r="F40" s="40">
        <v>294562.6042</v>
      </c>
      <c r="G40" s="41">
        <v>13.35</v>
      </c>
    </row>
    <row r="41" ht="12.75" customHeight="1">
      <c r="A41" s="39" t="s">
        <v>114</v>
      </c>
      <c r="B41" s="39" t="s">
        <v>115</v>
      </c>
      <c r="C41" s="42" t="s">
        <v>116</v>
      </c>
      <c r="D41" s="40">
        <v>28387.0</v>
      </c>
      <c r="E41" s="41">
        <f t="shared" si="2"/>
        <v>2.42043315</v>
      </c>
      <c r="F41" s="40">
        <v>68708.83582</v>
      </c>
      <c r="G41" s="41">
        <v>10.47</v>
      </c>
    </row>
    <row r="42" ht="12.75" customHeight="1">
      <c r="A42" s="39" t="s">
        <v>117</v>
      </c>
      <c r="B42" s="39" t="s">
        <v>118</v>
      </c>
      <c r="C42" s="42" t="s">
        <v>119</v>
      </c>
      <c r="D42" s="40">
        <v>48195.0</v>
      </c>
      <c r="E42" s="41">
        <f t="shared" si="2"/>
        <v>3.333178788</v>
      </c>
      <c r="F42" s="40">
        <v>160642.5517</v>
      </c>
      <c r="G42" s="41">
        <v>12.03</v>
      </c>
    </row>
    <row r="43" ht="12.75" customHeight="1">
      <c r="A43" s="39" t="s">
        <v>120</v>
      </c>
      <c r="B43" s="39" t="s">
        <v>121</v>
      </c>
      <c r="C43" s="42" t="s">
        <v>119</v>
      </c>
      <c r="D43" s="40">
        <v>79753.0</v>
      </c>
      <c r="E43" s="41">
        <f t="shared" si="2"/>
        <v>3.608667615</v>
      </c>
      <c r="F43" s="40">
        <v>287802.0683</v>
      </c>
      <c r="G43" s="41">
        <v>12.19</v>
      </c>
    </row>
    <row r="44" ht="12.75" customHeight="1">
      <c r="A44" s="39"/>
      <c r="B44" s="39"/>
      <c r="C44" s="42"/>
      <c r="D44" s="40"/>
      <c r="E44" s="41"/>
      <c r="F44" s="40"/>
      <c r="G44" s="41"/>
    </row>
    <row r="45" ht="12.75" customHeight="1">
      <c r="A45" s="39"/>
      <c r="B45" s="39"/>
      <c r="C45" s="42"/>
      <c r="D45" s="43"/>
      <c r="E45" s="44"/>
      <c r="F45" s="43"/>
      <c r="G45" s="44"/>
    </row>
    <row r="46" ht="12.75" customHeight="1">
      <c r="A46" s="39"/>
      <c r="B46" s="39"/>
      <c r="C46" s="42"/>
      <c r="D46" s="43"/>
      <c r="E46" s="44"/>
      <c r="F46" s="43"/>
      <c r="G46" s="45"/>
    </row>
    <row r="47" ht="12.75" customHeight="1">
      <c r="A47" s="39"/>
      <c r="B47" s="39"/>
      <c r="C47" s="42"/>
      <c r="D47" s="43"/>
      <c r="E47" s="44"/>
      <c r="F47" s="43"/>
      <c r="G47" s="4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1" t="s">
        <v>0</v>
      </c>
      <c r="B1" s="2" t="s">
        <v>2</v>
      </c>
      <c r="C1" s="2" t="s">
        <v>3</v>
      </c>
      <c r="D1" s="1" t="s">
        <v>4</v>
      </c>
    </row>
    <row r="2" ht="12.75" customHeight="1">
      <c r="A2" s="7">
        <v>45364.0</v>
      </c>
      <c r="B2" s="8" t="s">
        <v>7</v>
      </c>
      <c r="C2" s="9">
        <v>2023.0</v>
      </c>
      <c r="D2" s="8" t="s">
        <v>8</v>
      </c>
    </row>
    <row r="3" ht="12.75" customHeight="1">
      <c r="A3" s="12"/>
      <c r="B3" s="13"/>
      <c r="C3" s="14"/>
      <c r="D3" s="13"/>
    </row>
    <row r="4" ht="12.75" customHeight="1">
      <c r="A4" s="15"/>
      <c r="B4" s="16"/>
      <c r="C4" s="17"/>
      <c r="D4" s="8" t="s">
        <v>10</v>
      </c>
    </row>
    <row r="5" ht="12.75" customHeight="1">
      <c r="A5" s="18"/>
      <c r="B5" s="16"/>
      <c r="C5" s="17"/>
      <c r="D5" s="19"/>
    </row>
  </sheetData>
  <drawing r:id="rId1"/>
</worksheet>
</file>