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<sst xmlns="http://schemas.openxmlformats.org/spreadsheetml/2006/main" count="171" uniqueCount="126">
  <si>
    <t>Change date</t>
  </si>
  <si>
    <t>Data source</t>
  </si>
  <si>
    <t>Entity</t>
  </si>
  <si>
    <t>EUROCONTROL</t>
  </si>
  <si>
    <t>Period</t>
  </si>
  <si>
    <t>Comment</t>
  </si>
  <si>
    <t>Period Start</t>
  </si>
  <si>
    <t>EDDS</t>
  </si>
  <si>
    <t>Meta data</t>
  </si>
  <si>
    <t>Stuttgart airport data added</t>
  </si>
  <si>
    <t xml:space="preserve">   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</si>
  <si>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</si>
  <si>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</si>
  <si>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</si>
  <si>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</si>
  <si>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</si>
  <si>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</si>
  <si>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TAXI ADDITIONAL TIME</t>
  </si>
  <si>
    <t>Period: JAN-AUG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</si>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</sst>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&quot; &quot;mmm&quot; &quot;yyyy"/>
    <numFmt numFmtId="166" formatCode="m/d/yyyy"/>
    <numFmt numFmtId="167" formatCode="d mmm yyyy"/>
  </numFmts>
  <fonts count="14">
    <font>
      <sz val="10.0"/>
      <color rgb="FF000000"/>
      <name val="Arial"/>
    </font>
    <font>
      <sz val="9.0"/>
      <color rgb="FFF3F3F3"/>
      <name val="Calibri"/>
    </font>
    <font>
      <b/>
      <sz val="9.0"/>
      <color rgb="FF396EA2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2" fontId="1" numFmtId="0" xfId="0" applyAlignment="1" applyFill="1" applyFont="1">
      <alignment horizontal="center" shrinkToFit="0" wrapText="0"/>
    </xf>
    <xf borderId="0" fillId="3" fontId="3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3" fontId="3" numFmtId="165" xfId="0" applyAlignment="1" applyFill="1" applyFont="1" applyNumberFormat="1">
      <alignment horizontal="left" readingOrder="0" vertical="bottom"/>
    </xf>
    <xf borderId="0" fillId="4" fontId="5" numFmtId="0" xfId="0" applyAlignment="1" applyFill="1" applyFont="1">
      <alignment readingOrder="0" vertical="bottom"/>
    </xf>
    <xf borderId="0" fillId="4" fontId="5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4" fontId="4" numFmtId="165" xfId="0" applyAlignment="1" applyFill="1" applyFont="1" applyNumberFormat="1">
      <alignment horizontal="center" readingOrder="0" shrinkToFit="0" vertical="bottom" wrapText="0"/>
    </xf>
    <xf borderId="0" fillId="4" fontId="5" numFmtId="17" xfId="0" applyAlignment="1" applyFill="1" applyFont="1" applyNumberFormat="1">
      <alignment vertical="bottom"/>
    </xf>
    <xf borderId="0" fillId="3" fontId="6" numFmtId="166" xfId="0" applyAlignment="1" applyFill="1" applyFont="1" applyNumberFormat="1">
      <alignment horizontal="left" shrinkToFit="0" wrapText="0"/>
    </xf>
    <xf borderId="0" fillId="3" fontId="3" numFmtId="0" xfId="0" applyAlignment="1" applyFill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1" fillId="3" fontId="2" numFmtId="0" xfId="0" applyAlignment="1" applyBorder="1" applyFill="1" applyFont="1">
      <alignment shrinkToFit="0" wrapText="0"/>
    </xf>
    <xf borderId="2" fillId="0" fontId="7" numFmtId="167" xfId="0" applyAlignment="1" applyBorder="1" applyFont="1" applyNumberFormat="1">
      <alignment horizontal="left" readingOrder="0" vertical="bottom"/>
    </xf>
    <xf borderId="1" fillId="3" fontId="2" numFmtId="0" xfId="0" applyAlignment="1" applyBorder="1" applyFill="1" applyFont="1">
      <alignment vertical="bottom"/>
    </xf>
    <xf borderId="1" fillId="3" fontId="3" numFmtId="165" xfId="0" applyAlignment="1" applyBorder="1" applyFill="1" applyFont="1" applyNumberFormat="1">
      <alignment horizontal="left" readingOrder="0" vertical="bottom"/>
    </xf>
    <xf borderId="1" fillId="3" fontId="8" numFmtId="0" xfId="0" applyAlignment="1" applyBorder="1" applyFill="1" applyFont="1">
      <alignment horizontal="left" readingOrder="0" shrinkToFit="0" wrapText="0"/>
    </xf>
    <xf borderId="1" fillId="3" fontId="3" numFmtId="0" xfId="0" applyAlignment="1" applyBorder="1" applyFill="1" applyFont="1">
      <alignment shrinkToFit="0" wrapText="1"/>
    </xf>
    <xf borderId="0" fillId="4" fontId="9" numFmtId="0" xfId="0" applyAlignment="1" applyFill="1" applyFont="1">
      <alignment readingOrder="0" shrinkToFit="0" vertical="center" wrapText="0"/>
    </xf>
    <xf borderId="0" fillId="4" fontId="5" numFmtId="0" xfId="0" applyAlignment="1" applyFill="1" applyFont="1">
      <alignment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4" fontId="10" numFmtId="0" xfId="0" applyAlignment="1" applyFill="1" applyFont="1">
      <alignment horizontal="center" readingOrder="0" shrinkToFit="0" vertical="center" wrapText="0"/>
    </xf>
    <xf borderId="0" fillId="4" fontId="11" numFmtId="0" xfId="0" applyAlignment="1" applyFill="1" applyFont="1">
      <alignment readingOrder="0" shrinkToFit="0" vertical="center" wrapText="0"/>
    </xf>
    <xf borderId="0" fillId="4" fontId="12" numFmtId="0" xfId="0" applyAlignment="1" applyFill="1" applyFont="1">
      <alignment shrinkToFit="0" vertical="center" wrapText="0"/>
    </xf>
    <xf borderId="0" fillId="4" fontId="12" numFmtId="0" xfId="0" applyAlignment="1" applyFill="1" applyFont="1">
      <alignment horizontal="center" readingOrder="0" shrinkToFit="0" vertical="center" wrapText="0"/>
    </xf>
    <xf borderId="0" fillId="0" fontId="13" numFmtId="0" xfId="0" applyFont="1"/>
    <xf borderId="0" fillId="0" fontId="13" numFmtId="0" xfId="0" applyAlignment="1" applyFont="1">
      <alignment readingOrder="0"/>
    </xf>
    <xf borderId="3" fillId="2" fontId="1" numFmtId="0" xfId="0" applyAlignment="1" applyBorder="1" applyFill="1" applyFont="1">
      <alignment readingOrder="0" shrinkToFit="0" wrapText="0"/>
    </xf>
    <xf borderId="4" fillId="2" fontId="1" numFmtId="0" xfId="0" applyAlignment="1" applyBorder="1" applyFill="1" applyFont="1">
      <alignment readingOrder="0" shrinkToFit="0" wrapText="0"/>
    </xf>
    <xf borderId="3" fillId="4" fontId="5" numFmtId="2" xfId="0" applyAlignment="1" applyBorder="1" applyFill="1" applyFont="1" applyNumberFormat="1">
      <alignment readingOrder="0"/>
    </xf>
    <xf borderId="3" fillId="4" fontId="5" numFmtId="0" xfId="0" applyAlignment="1" applyBorder="1" applyFill="1" applyFont="1">
      <alignment readingOrder="0"/>
    </xf>
    <xf borderId="3" fillId="5" fontId="13" numFmtId="3" xfId="0" applyAlignment="1" applyBorder="1" applyFill="1" applyFont="1" applyNumberFormat="1">
      <alignment horizontal="right" readingOrder="0"/>
    </xf>
    <xf borderId="3" fillId="5" fontId="5" numFmtId="4" xfId="0" applyAlignment="1" applyBorder="1" applyFill="1" applyFont="1" applyNumberFormat="1">
      <alignment horizontal="right" readingOrder="0"/>
    </xf>
    <xf borderId="3" fillId="6" fontId="13" numFmtId="3" xfId="0" applyAlignment="1" applyBorder="1" applyFill="1" applyFont="1" applyNumberFormat="1">
      <alignment horizontal="right" readingOrder="0"/>
    </xf>
    <xf borderId="3" fillId="6" fontId="5" numFmtId="4" xfId="0" applyAlignment="1" applyBorder="1" applyFill="1" applyFont="1" applyNumberFormat="1">
      <alignment horizontal="right" readingOrder="0"/>
    </xf>
    <xf borderId="0" fillId="4" fontId="5" numFmtId="0" xfId="0" applyAlignment="1" applyFill="1" applyFont="1">
      <alignment readingOrder="0"/>
    </xf>
    <xf borderId="3" fillId="5" fontId="13" numFmtId="3" xfId="0" applyAlignment="1" applyBorder="1" applyFill="1" applyFont="1" applyNumberFormat="1">
      <alignment readingOrder="0"/>
    </xf>
    <xf borderId="3" fillId="6" fontId="13" numFmtId="3" xfId="0" applyAlignment="1" applyBorder="1" applyFill="1" applyFont="1" applyNumberFormat="1">
      <alignment readingOrder="0"/>
    </xf>
    <xf borderId="3" fillId="6" fontId="13" numFmtId="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2" t="s">
        <v>1</v>
      </c>
      <c r="B1" s="4" t="s">
        <v>3</v>
      </c>
      <c r="C1" s="5" t="s">
        <v>6</v>
      </c>
      <c r="D1" s="7">
        <v>46023.0</v>
      </c>
      <c r="E1" s="2" t="s">
        <v>8</v>
      </c>
      <c r="F1" s="14" t="str">
        <f>HYPERLINK("https://www.eurocontrol.int/prudata/dashboard/metadata/additional-taxi-out-time/","Taxi out additional time")</f>
        <v>Taxi out additional time</v>
      </c>
      <c r="G1" s="15"/>
      <c r="H1" s="15"/>
      <c r="I1" s="16" t="s">
        <v>11</v>
      </c>
      <c r="J1" s="16" t="s">
        <v>11</v>
      </c>
      <c r="K1" s="15"/>
    </row>
    <row r="2" ht="12.75" customHeight="1">
      <c r="A2" s="17" t="s">
        <v>12</v>
      </c>
      <c r="B2" s="18">
        <v>46311.0</v>
      </c>
      <c r="C2" s="19" t="s">
        <v>13</v>
      </c>
      <c r="D2" s="20">
        <v>46265.0</v>
      </c>
      <c r="E2" s="17" t="s">
        <v>14</v>
      </c>
      <c r="F2" s="21" t="s">
        <v>15</v>
      </c>
      <c r="G2" s="22"/>
      <c r="H2" s="15"/>
      <c r="I2" s="16" t="s">
        <v>11</v>
      </c>
      <c r="J2" s="16" t="s">
        <v>16</v>
      </c>
      <c r="K2" s="16" t="s">
        <v>11</v>
      </c>
    </row>
    <row r="3" ht="12.75" customHeight="1">
      <c r="A3" s="23" t="s">
        <v>17</v>
      </c>
      <c r="B3" s="24"/>
      <c r="C3" s="24"/>
      <c r="D3" s="24"/>
      <c r="E3" s="25" t="s">
        <v>16</v>
      </c>
      <c r="F3" s="25" t="s">
        <v>16</v>
      </c>
      <c r="G3" s="26" t="s">
        <v>16</v>
      </c>
      <c r="H3" s="26"/>
      <c r="I3" s="26" t="s">
        <v>10</v>
      </c>
      <c r="J3" s="26" t="s">
        <v>11</v>
      </c>
      <c r="K3" s="26" t="s">
        <v>11</v>
      </c>
    </row>
    <row r="4" ht="12.75" customHeight="1">
      <c r="A4" s="27" t="s">
        <v>18</v>
      </c>
      <c r="B4" s="28"/>
      <c r="C4" s="28"/>
      <c r="D4" s="29"/>
      <c r="E4" s="29" t="s">
        <v>16</v>
      </c>
      <c r="F4" s="30"/>
      <c r="G4" s="31" t="s">
        <v>11</v>
      </c>
      <c r="H4" s="30"/>
      <c r="I4" s="30"/>
      <c r="J4" s="30"/>
      <c r="K4" s="30"/>
    </row>
    <row r="5" ht="12.75" customHeight="1">
      <c r="A5" s="32" t="s">
        <v>19</v>
      </c>
      <c r="B5" s="33" t="s">
        <v>20</v>
      </c>
      <c r="C5" s="33" t="s">
        <v>21</v>
      </c>
      <c r="D5" s="33" t="s">
        <v>22</v>
      </c>
      <c r="E5" s="33" t="s">
        <v>23</v>
      </c>
      <c r="F5" s="33" t="s">
        <v>24</v>
      </c>
      <c r="G5" s="33" t="s">
        <v>25</v>
      </c>
      <c r="H5" s="33" t="s">
        <v>26</v>
      </c>
      <c r="I5" s="33" t="s">
        <v>27</v>
      </c>
      <c r="J5" s="33" t="s">
        <v>28</v>
      </c>
      <c r="K5" s="33" t="s">
        <v>29</v>
      </c>
    </row>
    <row r="6" ht="12.75" customHeight="1">
      <c r="A6" s="34" t="s">
        <v>30</v>
      </c>
      <c r="B6" s="34" t="s">
        <v>31</v>
      </c>
      <c r="C6" s="35" t="s">
        <v>32</v>
      </c>
      <c r="D6" s="36">
        <v>64372.0</v>
      </c>
      <c r="E6" s="37">
        <f t="shared" ref="E6:E16" si="1">F6/D6</f>
        <v>3.019634313</v>
      </c>
      <c r="F6" s="36">
        <v>194379.9</v>
      </c>
      <c r="G6" s="37">
        <v>8.93</v>
      </c>
      <c r="H6" s="38">
        <v>63469.0</v>
      </c>
      <c r="I6" s="39">
        <f t="shared" ref="I6:I16" si="2">J6/H6</f>
        <v>1.322010745</v>
      </c>
      <c r="J6" s="38">
        <v>83906.7</v>
      </c>
      <c r="K6" s="39">
        <v>4.2</v>
      </c>
    </row>
    <row r="7" ht="12.75" customHeight="1">
      <c r="A7" s="34" t="s">
        <v>33</v>
      </c>
      <c r="B7" s="34" t="s">
        <v>34</v>
      </c>
      <c r="C7" s="40" t="s">
        <v>35</v>
      </c>
      <c r="D7" s="36">
        <v>54193.0</v>
      </c>
      <c r="E7" s="37">
        <f t="shared" si="1"/>
        <v>2.453680826</v>
      </c>
      <c r="F7" s="36">
        <v>132972.325</v>
      </c>
      <c r="G7" s="37">
        <v>8.03</v>
      </c>
      <c r="H7" s="38">
        <v>57750.0</v>
      </c>
      <c r="I7" s="39">
        <f t="shared" si="2"/>
        <v>1.289953016</v>
      </c>
      <c r="J7" s="38">
        <v>74494.78667</v>
      </c>
      <c r="K7" s="39">
        <v>4.02</v>
      </c>
    </row>
    <row r="8" ht="12.75" customHeight="1">
      <c r="A8" s="34" t="s">
        <v>36</v>
      </c>
      <c r="B8" s="34" t="s">
        <v>37</v>
      </c>
      <c r="C8" s="35" t="s">
        <v>35</v>
      </c>
      <c r="D8" s="36">
        <v>134231.0</v>
      </c>
      <c r="E8" s="37">
        <f t="shared" si="1"/>
        <v>3.331765241</v>
      </c>
      <c r="F8" s="36">
        <v>447226.18</v>
      </c>
      <c r="G8" s="37">
        <v>10.89</v>
      </c>
      <c r="H8" s="38">
        <v>133763.0</v>
      </c>
      <c r="I8" s="39">
        <f t="shared" si="2"/>
        <v>2.146981465</v>
      </c>
      <c r="J8" s="38">
        <v>287186.6817</v>
      </c>
      <c r="K8" s="39">
        <v>7.17</v>
      </c>
    </row>
    <row r="9" ht="12.75" customHeight="1">
      <c r="A9" s="34" t="s">
        <v>38</v>
      </c>
      <c r="B9" s="34" t="s">
        <v>39</v>
      </c>
      <c r="C9" s="35" t="s">
        <v>35</v>
      </c>
      <c r="D9" s="36">
        <v>36473.0</v>
      </c>
      <c r="E9" s="37">
        <f t="shared" si="1"/>
        <v>2.745207277</v>
      </c>
      <c r="F9" s="36">
        <v>100125.945</v>
      </c>
      <c r="G9" s="37">
        <v>7.05</v>
      </c>
      <c r="H9" s="38">
        <v>36037.0</v>
      </c>
      <c r="I9" s="39">
        <f t="shared" si="2"/>
        <v>1.314182969</v>
      </c>
      <c r="J9" s="38">
        <v>47359.21166</v>
      </c>
      <c r="K9" s="39">
        <v>3.63</v>
      </c>
    </row>
    <row r="10" ht="12.75" customHeight="1">
      <c r="A10" s="34" t="s">
        <v>40</v>
      </c>
      <c r="B10" s="34" t="s">
        <v>41</v>
      </c>
      <c r="C10" s="35" t="s">
        <v>35</v>
      </c>
      <c r="D10" s="36">
        <v>31465.0</v>
      </c>
      <c r="E10" s="37">
        <f t="shared" si="1"/>
        <v>2.68840553</v>
      </c>
      <c r="F10" s="36">
        <v>84590.68</v>
      </c>
      <c r="G10" s="37">
        <v>9.71</v>
      </c>
      <c r="H10" s="38">
        <v>31230.0</v>
      </c>
      <c r="I10" s="39">
        <f t="shared" si="2"/>
        <v>1.553190575</v>
      </c>
      <c r="J10" s="38">
        <v>48506.14167</v>
      </c>
      <c r="K10" s="39">
        <v>4.49</v>
      </c>
    </row>
    <row r="11" ht="12.75" customHeight="1">
      <c r="A11" s="34" t="s">
        <v>42</v>
      </c>
      <c r="B11" s="34" t="s">
        <v>43</v>
      </c>
      <c r="C11" s="35" t="s">
        <v>35</v>
      </c>
      <c r="D11" s="36">
        <v>48003.0</v>
      </c>
      <c r="E11" s="37">
        <f t="shared" si="1"/>
        <v>2.465926921</v>
      </c>
      <c r="F11" s="36">
        <v>118371.89</v>
      </c>
      <c r="G11" s="37">
        <v>8.68</v>
      </c>
      <c r="H11" s="38">
        <v>47207.0</v>
      </c>
      <c r="I11" s="39">
        <f t="shared" si="2"/>
        <v>1.097102937</v>
      </c>
      <c r="J11" s="38">
        <v>51790.93833</v>
      </c>
      <c r="K11" s="39">
        <v>3.63</v>
      </c>
    </row>
    <row r="12" ht="12.75" customHeight="1">
      <c r="A12" s="34" t="s">
        <v>44</v>
      </c>
      <c r="B12" s="34" t="s">
        <v>45</v>
      </c>
      <c r="C12" s="35" t="s">
        <v>35</v>
      </c>
      <c r="D12" s="36">
        <v>93698.0</v>
      </c>
      <c r="E12" s="37">
        <f t="shared" si="1"/>
        <v>3.073925804</v>
      </c>
      <c r="F12" s="36">
        <v>288020.7</v>
      </c>
      <c r="G12" s="37">
        <v>9.74</v>
      </c>
      <c r="H12" s="38">
        <v>100578.0</v>
      </c>
      <c r="I12" s="39">
        <f t="shared" si="2"/>
        <v>1.57063672</v>
      </c>
      <c r="J12" s="38">
        <v>157971.5</v>
      </c>
      <c r="K12" s="39">
        <v>4.45</v>
      </c>
    </row>
    <row r="13" ht="12.75" customHeight="1">
      <c r="A13" s="34" t="s">
        <v>46</v>
      </c>
      <c r="B13" s="34" t="s">
        <v>47</v>
      </c>
      <c r="C13" s="35" t="s">
        <v>48</v>
      </c>
      <c r="D13" s="36">
        <v>48595.0</v>
      </c>
      <c r="E13" s="37">
        <f t="shared" si="1"/>
        <v>3.761580101</v>
      </c>
      <c r="F13" s="36">
        <v>182793.985</v>
      </c>
      <c r="G13" s="37">
        <v>5.84</v>
      </c>
      <c r="H13" s="38">
        <v>46516.0</v>
      </c>
      <c r="I13" s="39">
        <f t="shared" si="2"/>
        <v>1.233502594</v>
      </c>
      <c r="J13" s="38">
        <v>57377.60666</v>
      </c>
      <c r="K13" s="39">
        <v>3.92</v>
      </c>
    </row>
    <row r="14" ht="12.75" customHeight="1">
      <c r="A14" s="34" t="s">
        <v>49</v>
      </c>
      <c r="B14" s="34" t="s">
        <v>50</v>
      </c>
      <c r="C14" s="35" t="s">
        <v>51</v>
      </c>
      <c r="D14" s="36">
        <v>148748.0</v>
      </c>
      <c r="E14" s="37">
        <f t="shared" si="1"/>
        <v>3.427222338</v>
      </c>
      <c r="F14" s="36">
        <v>509792.4683</v>
      </c>
      <c r="G14" s="37">
        <v>9.94</v>
      </c>
      <c r="H14" s="38">
        <v>140723.0</v>
      </c>
      <c r="I14" s="39">
        <f t="shared" si="2"/>
        <v>1.825905135</v>
      </c>
      <c r="J14" s="38">
        <v>256946.8483</v>
      </c>
      <c r="K14" s="39">
        <v>6.53</v>
      </c>
    </row>
    <row r="15" ht="12.75" customHeight="1">
      <c r="A15" s="35" t="s">
        <v>52</v>
      </c>
      <c r="B15" s="35" t="s">
        <v>53</v>
      </c>
      <c r="C15" s="35" t="s">
        <v>54</v>
      </c>
      <c r="D15" s="36">
        <v>84295.0</v>
      </c>
      <c r="E15" s="37">
        <f t="shared" si="1"/>
        <v>4.31076942</v>
      </c>
      <c r="F15" s="36">
        <v>363376.3083</v>
      </c>
      <c r="G15" s="37">
        <v>10.47</v>
      </c>
      <c r="H15" s="38">
        <v>82210.0</v>
      </c>
      <c r="I15" s="39">
        <f t="shared" si="2"/>
        <v>2.026660545</v>
      </c>
      <c r="J15" s="38">
        <v>166611.7634</v>
      </c>
      <c r="K15" s="39">
        <v>5.07</v>
      </c>
    </row>
    <row r="16" ht="12.75" customHeight="1">
      <c r="A16" s="34" t="s">
        <v>55</v>
      </c>
      <c r="B16" s="34" t="s">
        <v>56</v>
      </c>
      <c r="C16" s="35" t="s">
        <v>57</v>
      </c>
      <c r="D16" s="36">
        <v>79825.0</v>
      </c>
      <c r="E16" s="37">
        <f t="shared" si="1"/>
        <v>3.446633552</v>
      </c>
      <c r="F16" s="36">
        <v>275127.5233</v>
      </c>
      <c r="G16" s="37">
        <v>9.0</v>
      </c>
      <c r="H16" s="38">
        <v>83430.0</v>
      </c>
      <c r="I16" s="39">
        <f t="shared" si="2"/>
        <v>1.559476547</v>
      </c>
      <c r="J16" s="38">
        <v>130107.1283</v>
      </c>
      <c r="K16" s="39">
        <v>4.34</v>
      </c>
    </row>
    <row r="17" ht="12.75" customHeight="1">
      <c r="A17" s="34" t="s">
        <v>58</v>
      </c>
      <c r="B17" s="34" t="s">
        <v>59</v>
      </c>
      <c r="C17" s="35" t="s">
        <v>60</v>
      </c>
      <c r="D17" s="37" t="s">
        <v>61</v>
      </c>
      <c r="E17" s="37" t="s">
        <v>61</v>
      </c>
      <c r="F17" s="37" t="s">
        <v>61</v>
      </c>
      <c r="G17" s="37" t="s">
        <v>61</v>
      </c>
      <c r="H17" s="39" t="s">
        <v>61</v>
      </c>
      <c r="I17" s="39" t="s">
        <v>61</v>
      </c>
      <c r="J17" s="39" t="s">
        <v>61</v>
      </c>
      <c r="K17" s="39" t="s">
        <v>61</v>
      </c>
    </row>
    <row r="18" ht="12.75" customHeight="1">
      <c r="A18" s="34" t="s">
        <v>62</v>
      </c>
      <c r="B18" s="34" t="s">
        <v>63</v>
      </c>
      <c r="C18" s="35" t="s">
        <v>60</v>
      </c>
      <c r="D18" s="36">
        <v>69065.0</v>
      </c>
      <c r="E18" s="37">
        <f t="shared" ref="E18:E26" si="3">F18/D18</f>
        <v>4.704265547</v>
      </c>
      <c r="F18" s="36">
        <v>324900.1</v>
      </c>
      <c r="G18" s="37">
        <v>8.85</v>
      </c>
      <c r="H18" s="38">
        <v>69737.0</v>
      </c>
      <c r="I18" s="39">
        <f t="shared" ref="I18:I26" si="4">J18/H18</f>
        <v>1.449867359</v>
      </c>
      <c r="J18" s="38">
        <v>101109.4</v>
      </c>
      <c r="K18" s="39">
        <v>2.44</v>
      </c>
    </row>
    <row r="19" ht="12.75" customHeight="1">
      <c r="A19" s="34" t="s">
        <v>64</v>
      </c>
      <c r="B19" s="34" t="s">
        <v>65</v>
      </c>
      <c r="C19" s="35" t="s">
        <v>66</v>
      </c>
      <c r="D19" s="36">
        <v>60330.0</v>
      </c>
      <c r="E19" s="37">
        <f t="shared" si="3"/>
        <v>3.018159511</v>
      </c>
      <c r="F19" s="36">
        <v>182085.5633</v>
      </c>
      <c r="G19" s="37">
        <v>7.13</v>
      </c>
      <c r="H19" s="38">
        <v>65938.0</v>
      </c>
      <c r="I19" s="39">
        <f t="shared" si="4"/>
        <v>1.40090853</v>
      </c>
      <c r="J19" s="38">
        <v>92373.10667</v>
      </c>
      <c r="K19" s="39">
        <v>2.98</v>
      </c>
    </row>
    <row r="20" ht="12.75" customHeight="1">
      <c r="A20" s="34" t="s">
        <v>67</v>
      </c>
      <c r="B20" s="34" t="s">
        <v>68</v>
      </c>
      <c r="C20" s="35" t="s">
        <v>69</v>
      </c>
      <c r="D20" s="36">
        <v>63408.0</v>
      </c>
      <c r="E20" s="37">
        <f t="shared" si="3"/>
        <v>2.880516654</v>
      </c>
      <c r="F20" s="36">
        <v>182647.8</v>
      </c>
      <c r="G20" s="37">
        <v>7.49</v>
      </c>
      <c r="H20" s="38">
        <v>63906.0</v>
      </c>
      <c r="I20" s="39">
        <f t="shared" si="4"/>
        <v>1.451874628</v>
      </c>
      <c r="J20" s="38">
        <v>92783.5</v>
      </c>
      <c r="K20" s="39">
        <v>4.73</v>
      </c>
    </row>
    <row r="21" ht="12.75" customHeight="1">
      <c r="A21" s="34" t="s">
        <v>70</v>
      </c>
      <c r="B21" s="34" t="s">
        <v>71</v>
      </c>
      <c r="C21" s="35" t="s">
        <v>72</v>
      </c>
      <c r="D21" s="36">
        <v>44371.0</v>
      </c>
      <c r="E21" s="37">
        <f t="shared" si="3"/>
        <v>2.855742226</v>
      </c>
      <c r="F21" s="36">
        <v>126712.1383</v>
      </c>
      <c r="G21" s="37">
        <v>7.21</v>
      </c>
      <c r="H21" s="38">
        <v>44992.0</v>
      </c>
      <c r="I21" s="39">
        <f t="shared" si="4"/>
        <v>1.017440952</v>
      </c>
      <c r="J21" s="38">
        <v>45776.70332</v>
      </c>
      <c r="K21" s="39">
        <v>1.55</v>
      </c>
    </row>
    <row r="22" ht="12.75" customHeight="1">
      <c r="A22" s="34" t="s">
        <v>73</v>
      </c>
      <c r="B22" s="34" t="s">
        <v>74</v>
      </c>
      <c r="C22" s="35" t="s">
        <v>72</v>
      </c>
      <c r="D22" s="36">
        <v>44934.0</v>
      </c>
      <c r="E22" s="37">
        <f t="shared" si="3"/>
        <v>3.39272941</v>
      </c>
      <c r="F22" s="36">
        <v>152448.9033</v>
      </c>
      <c r="G22" s="37">
        <v>7.81</v>
      </c>
      <c r="H22" s="38">
        <v>44833.0</v>
      </c>
      <c r="I22" s="39">
        <f t="shared" si="4"/>
        <v>1.355314463</v>
      </c>
      <c r="J22" s="38">
        <v>60762.81333</v>
      </c>
      <c r="K22" s="39">
        <v>2.35</v>
      </c>
    </row>
    <row r="23" ht="12.75" customHeight="1">
      <c r="A23" s="34" t="s">
        <v>75</v>
      </c>
      <c r="B23" s="34" t="s">
        <v>76</v>
      </c>
      <c r="C23" s="35" t="s">
        <v>72</v>
      </c>
      <c r="D23" s="36">
        <v>118900.0</v>
      </c>
      <c r="E23" s="37">
        <f t="shared" si="3"/>
        <v>3.787458551</v>
      </c>
      <c r="F23" s="36">
        <v>450328.8217</v>
      </c>
      <c r="G23" s="37">
        <v>11.96</v>
      </c>
      <c r="H23" s="38">
        <v>113150.0</v>
      </c>
      <c r="I23" s="39">
        <f t="shared" si="4"/>
        <v>1.132168508</v>
      </c>
      <c r="J23" s="38">
        <v>128104.8667</v>
      </c>
      <c r="K23" s="39">
        <v>2.75</v>
      </c>
    </row>
    <row r="24" ht="12.75" customHeight="1">
      <c r="A24" s="34" t="s">
        <v>77</v>
      </c>
      <c r="B24" s="34" t="s">
        <v>78</v>
      </c>
      <c r="C24" s="35" t="s">
        <v>72</v>
      </c>
      <c r="D24" s="36">
        <v>128403.0</v>
      </c>
      <c r="E24" s="37">
        <f t="shared" si="3"/>
        <v>3.646941037</v>
      </c>
      <c r="F24" s="36">
        <v>468278.17</v>
      </c>
      <c r="G24" s="37">
        <v>13.28</v>
      </c>
      <c r="H24" s="38">
        <v>129205.0</v>
      </c>
      <c r="I24" s="39">
        <f t="shared" si="4"/>
        <v>1.956603988</v>
      </c>
      <c r="J24" s="38">
        <v>252803.0183</v>
      </c>
      <c r="K24" s="39">
        <v>6.61</v>
      </c>
    </row>
    <row r="25" ht="12.75" customHeight="1">
      <c r="A25" s="34" t="s">
        <v>79</v>
      </c>
      <c r="B25" s="34" t="s">
        <v>80</v>
      </c>
      <c r="C25" s="35" t="s">
        <v>72</v>
      </c>
      <c r="D25" s="36">
        <v>60358.0</v>
      </c>
      <c r="E25" s="37">
        <f t="shared" si="3"/>
        <v>3.45459917</v>
      </c>
      <c r="F25" s="36">
        <v>208512.6967</v>
      </c>
      <c r="G25" s="37">
        <v>8.91</v>
      </c>
      <c r="H25" s="38">
        <v>60255.0</v>
      </c>
      <c r="I25" s="39">
        <f t="shared" si="4"/>
        <v>1.335565458</v>
      </c>
      <c r="J25" s="38">
        <v>80474.49668</v>
      </c>
      <c r="K25" s="39">
        <v>3.13</v>
      </c>
    </row>
    <row r="26" ht="12.75" customHeight="1">
      <c r="A26" s="34" t="s">
        <v>81</v>
      </c>
      <c r="B26" s="34" t="s">
        <v>82</v>
      </c>
      <c r="C26" s="35" t="s">
        <v>72</v>
      </c>
      <c r="D26" s="36">
        <v>81824.0</v>
      </c>
      <c r="E26" s="37">
        <f t="shared" si="3"/>
        <v>3.783761509</v>
      </c>
      <c r="F26" s="36">
        <v>309602.5017</v>
      </c>
      <c r="G26" s="37">
        <v>9.13</v>
      </c>
      <c r="H26" s="38">
        <v>80767.0</v>
      </c>
      <c r="I26" s="39">
        <f t="shared" si="4"/>
        <v>1.374381409</v>
      </c>
      <c r="J26" s="38">
        <v>111004.6633</v>
      </c>
      <c r="K26" s="39">
        <v>2.67</v>
      </c>
    </row>
    <row r="27" ht="12.75" customHeight="1">
      <c r="A27" s="34" t="s">
        <v>83</v>
      </c>
      <c r="B27" s="34" t="s">
        <v>84</v>
      </c>
      <c r="C27" s="35" t="s">
        <v>85</v>
      </c>
      <c r="D27" s="37" t="s">
        <v>61</v>
      </c>
      <c r="E27" s="37" t="s">
        <v>61</v>
      </c>
      <c r="F27" s="37" t="s">
        <v>61</v>
      </c>
      <c r="G27" s="37" t="s">
        <v>61</v>
      </c>
      <c r="H27" s="39" t="s">
        <v>61</v>
      </c>
      <c r="I27" s="39" t="s">
        <v>61</v>
      </c>
      <c r="J27" s="39" t="s">
        <v>61</v>
      </c>
      <c r="K27" s="39" t="s">
        <v>61</v>
      </c>
    </row>
    <row r="28" ht="12.75" customHeight="1">
      <c r="A28" s="34" t="s">
        <v>86</v>
      </c>
      <c r="B28" s="34" t="s">
        <v>87</v>
      </c>
      <c r="C28" s="35" t="s">
        <v>85</v>
      </c>
      <c r="D28" s="36">
        <v>49898.0</v>
      </c>
      <c r="E28" s="37">
        <f t="shared" ref="E28:E43" si="5">F28/D28</f>
        <v>3.248092108</v>
      </c>
      <c r="F28" s="36">
        <v>162073.3</v>
      </c>
      <c r="G28" s="37">
        <v>8.15</v>
      </c>
      <c r="H28" s="38">
        <v>50182.0</v>
      </c>
      <c r="I28" s="39">
        <f t="shared" ref="I28:I43" si="6">J28/H28</f>
        <v>1.193961978</v>
      </c>
      <c r="J28" s="38">
        <v>59915.4</v>
      </c>
      <c r="K28" s="39">
        <v>2.96</v>
      </c>
    </row>
    <row r="29" ht="12.75" customHeight="1">
      <c r="A29" s="34" t="s">
        <v>88</v>
      </c>
      <c r="B29" s="34" t="s">
        <v>89</v>
      </c>
      <c r="C29" s="35" t="s">
        <v>85</v>
      </c>
      <c r="D29" s="36">
        <v>139673.0</v>
      </c>
      <c r="E29" s="37">
        <f t="shared" si="5"/>
        <v>3.711885977</v>
      </c>
      <c r="F29" s="36">
        <v>518450.25</v>
      </c>
      <c r="G29" s="37">
        <v>11.86</v>
      </c>
      <c r="H29" s="38">
        <v>147813.0</v>
      </c>
      <c r="I29" s="39">
        <f t="shared" si="6"/>
        <v>2.107878829</v>
      </c>
      <c r="J29" s="38">
        <v>311571.8933</v>
      </c>
      <c r="K29" s="39">
        <v>7.46</v>
      </c>
    </row>
    <row r="30" ht="12.75" customHeight="1">
      <c r="A30" s="34" t="s">
        <v>90</v>
      </c>
      <c r="B30" s="34" t="s">
        <v>91</v>
      </c>
      <c r="C30" s="35" t="s">
        <v>85</v>
      </c>
      <c r="D30" s="36">
        <v>60566.0</v>
      </c>
      <c r="E30" s="37">
        <f t="shared" si="5"/>
        <v>3.036594789</v>
      </c>
      <c r="F30" s="36">
        <v>183914.4</v>
      </c>
      <c r="G30" s="37">
        <v>8.46</v>
      </c>
      <c r="H30" s="38">
        <v>61662.0</v>
      </c>
      <c r="I30" s="39">
        <f t="shared" si="6"/>
        <v>1.659571535</v>
      </c>
      <c r="J30" s="38">
        <v>102332.5</v>
      </c>
      <c r="K30" s="39">
        <v>4.21</v>
      </c>
    </row>
    <row r="31" ht="12.75" customHeight="1">
      <c r="A31" s="34" t="s">
        <v>92</v>
      </c>
      <c r="B31" s="34" t="s">
        <v>93</v>
      </c>
      <c r="C31" s="35" t="s">
        <v>94</v>
      </c>
      <c r="D31" s="36">
        <v>93577.0</v>
      </c>
      <c r="E31" s="37">
        <f t="shared" si="5"/>
        <v>4.132638184</v>
      </c>
      <c r="F31" s="36">
        <v>386719.8833</v>
      </c>
      <c r="G31" s="37">
        <v>8.3</v>
      </c>
      <c r="H31" s="38">
        <v>94217.0</v>
      </c>
      <c r="I31" s="39">
        <f t="shared" si="6"/>
        <v>2.093408833</v>
      </c>
      <c r="J31" s="38">
        <v>197234.7</v>
      </c>
      <c r="K31" s="39">
        <v>3.65</v>
      </c>
    </row>
    <row r="32" ht="12.75" customHeight="1">
      <c r="A32" s="34" t="s">
        <v>95</v>
      </c>
      <c r="B32" s="34" t="s">
        <v>96</v>
      </c>
      <c r="C32" s="35" t="s">
        <v>97</v>
      </c>
      <c r="D32" s="36">
        <v>43151.0</v>
      </c>
      <c r="E32" s="37">
        <f t="shared" si="5"/>
        <v>2.627429995</v>
      </c>
      <c r="F32" s="36">
        <v>113376.2317</v>
      </c>
      <c r="G32" s="37">
        <v>8.66</v>
      </c>
      <c r="H32" s="38">
        <v>42188.0</v>
      </c>
      <c r="I32" s="39">
        <f t="shared" si="6"/>
        <v>1.31691899</v>
      </c>
      <c r="J32" s="38">
        <v>55558.17834</v>
      </c>
      <c r="K32" s="39">
        <v>3.69</v>
      </c>
    </row>
    <row r="33" ht="12.75" customHeight="1">
      <c r="A33" s="34" t="s">
        <v>98</v>
      </c>
      <c r="B33" s="34" t="s">
        <v>99</v>
      </c>
      <c r="C33" s="35" t="s">
        <v>100</v>
      </c>
      <c r="D33" s="36">
        <v>67937.0</v>
      </c>
      <c r="E33" s="37">
        <f t="shared" si="5"/>
        <v>4.72429577</v>
      </c>
      <c r="F33" s="36">
        <v>320954.4817</v>
      </c>
      <c r="G33" s="37">
        <v>11.95</v>
      </c>
      <c r="H33" s="38">
        <v>72694.0</v>
      </c>
      <c r="I33" s="39">
        <f t="shared" si="6"/>
        <v>1.994268853</v>
      </c>
      <c r="J33" s="38">
        <v>144971.38</v>
      </c>
      <c r="K33" s="39">
        <v>4.78</v>
      </c>
    </row>
    <row r="34" ht="12.75" customHeight="1">
      <c r="A34" s="34" t="s">
        <v>101</v>
      </c>
      <c r="B34" s="34" t="s">
        <v>102</v>
      </c>
      <c r="C34" s="35" t="s">
        <v>100</v>
      </c>
      <c r="D34" s="36">
        <v>37002.0</v>
      </c>
      <c r="E34" s="37">
        <f t="shared" si="5"/>
        <v>3.373623047</v>
      </c>
      <c r="F34" s="36">
        <v>124830.8</v>
      </c>
      <c r="G34" s="37">
        <v>9.31</v>
      </c>
      <c r="H34" s="38">
        <v>37111.0</v>
      </c>
      <c r="I34" s="39">
        <f t="shared" si="6"/>
        <v>1.591923329</v>
      </c>
      <c r="J34" s="38">
        <v>59077.86667</v>
      </c>
      <c r="K34" s="39">
        <v>3.16</v>
      </c>
    </row>
    <row r="35" ht="12.75" customHeight="1">
      <c r="A35" s="34" t="s">
        <v>103</v>
      </c>
      <c r="B35" s="34" t="s">
        <v>104</v>
      </c>
      <c r="C35" s="35" t="s">
        <v>100</v>
      </c>
      <c r="D35" s="36">
        <v>41538.0</v>
      </c>
      <c r="E35" s="37">
        <f t="shared" si="5"/>
        <v>4.964803874</v>
      </c>
      <c r="F35" s="36">
        <v>206228.0233</v>
      </c>
      <c r="G35" s="37">
        <v>8.99</v>
      </c>
      <c r="H35" s="38">
        <v>42025.0</v>
      </c>
      <c r="I35" s="39">
        <f t="shared" si="6"/>
        <v>1.801326988</v>
      </c>
      <c r="J35" s="38">
        <v>75700.76666</v>
      </c>
      <c r="K35" s="39">
        <v>3.09</v>
      </c>
    </row>
    <row r="36" ht="12.75" customHeight="1">
      <c r="A36" s="34" t="s">
        <v>105</v>
      </c>
      <c r="B36" s="34" t="s">
        <v>106</v>
      </c>
      <c r="C36" s="35" t="s">
        <v>100</v>
      </c>
      <c r="D36" s="36">
        <v>103562.0</v>
      </c>
      <c r="E36" s="37">
        <f t="shared" si="5"/>
        <v>7.163394875</v>
      </c>
      <c r="F36" s="36">
        <v>741855.5</v>
      </c>
      <c r="G36" s="37">
        <v>12.09</v>
      </c>
      <c r="H36" s="38">
        <v>105287.0</v>
      </c>
      <c r="I36" s="39">
        <f t="shared" si="6"/>
        <v>3.395195988</v>
      </c>
      <c r="J36" s="38">
        <v>357470.0</v>
      </c>
      <c r="K36" s="39">
        <v>7.24</v>
      </c>
    </row>
    <row r="37" ht="12.75" customHeight="1">
      <c r="A37" s="34" t="s">
        <v>107</v>
      </c>
      <c r="B37" s="34" t="s">
        <v>108</v>
      </c>
      <c r="C37" s="35" t="s">
        <v>109</v>
      </c>
      <c r="D37" s="36">
        <v>42550.0</v>
      </c>
      <c r="E37" s="37">
        <f t="shared" si="5"/>
        <v>2.90519389</v>
      </c>
      <c r="F37" s="36">
        <v>123616.0</v>
      </c>
      <c r="G37" s="37">
        <v>8.59</v>
      </c>
      <c r="H37" s="38">
        <v>45496.0</v>
      </c>
      <c r="I37" s="39">
        <f t="shared" si="6"/>
        <v>1.36157904</v>
      </c>
      <c r="J37" s="38">
        <v>61946.4</v>
      </c>
      <c r="K37" s="39">
        <v>3.73</v>
      </c>
    </row>
    <row r="38" ht="12.75" customHeight="1">
      <c r="A38" s="34" t="s">
        <v>110</v>
      </c>
      <c r="B38" s="34" t="s">
        <v>111</v>
      </c>
      <c r="C38" s="35" t="s">
        <v>112</v>
      </c>
      <c r="D38" s="36">
        <v>73693.0</v>
      </c>
      <c r="E38" s="37">
        <f t="shared" si="5"/>
        <v>2.346384324</v>
      </c>
      <c r="F38" s="36">
        <v>172912.1</v>
      </c>
      <c r="G38" s="37">
        <v>6.98</v>
      </c>
      <c r="H38" s="38">
        <v>78671.0</v>
      </c>
      <c r="I38" s="39">
        <f t="shared" si="6"/>
        <v>1.420452263</v>
      </c>
      <c r="J38" s="38">
        <v>111748.4</v>
      </c>
      <c r="K38" s="39">
        <v>4.45</v>
      </c>
    </row>
    <row r="39" ht="12.75" customHeight="1">
      <c r="A39" s="34" t="s">
        <v>113</v>
      </c>
      <c r="B39" s="34" t="s">
        <v>114</v>
      </c>
      <c r="C39" s="35" t="s">
        <v>115</v>
      </c>
      <c r="D39" s="36">
        <v>39347.0</v>
      </c>
      <c r="E39" s="37">
        <f t="shared" si="5"/>
        <v>3.376005243</v>
      </c>
      <c r="F39" s="36">
        <v>132835.6783</v>
      </c>
      <c r="G39" s="37">
        <v>7.44</v>
      </c>
      <c r="H39" s="38">
        <v>39506.0</v>
      </c>
      <c r="I39" s="39">
        <f t="shared" si="6"/>
        <v>1.578272119</v>
      </c>
      <c r="J39" s="38">
        <v>62351.21833</v>
      </c>
      <c r="K39" s="39">
        <v>4.22</v>
      </c>
    </row>
    <row r="40" ht="12.75" customHeight="1">
      <c r="A40" s="34" t="s">
        <v>116</v>
      </c>
      <c r="B40" s="34" t="s">
        <v>117</v>
      </c>
      <c r="C40" s="35" t="s">
        <v>115</v>
      </c>
      <c r="D40" s="36">
        <v>76455.0</v>
      </c>
      <c r="E40" s="37">
        <f t="shared" si="5"/>
        <v>3.915797528</v>
      </c>
      <c r="F40" s="36">
        <v>299382.3</v>
      </c>
      <c r="G40" s="37">
        <v>11.22</v>
      </c>
      <c r="H40" s="38">
        <v>76830.0</v>
      </c>
      <c r="I40" s="39">
        <f t="shared" si="6"/>
        <v>1.889023646</v>
      </c>
      <c r="J40" s="38">
        <v>145133.6867</v>
      </c>
      <c r="K40" s="39">
        <v>4.17</v>
      </c>
    </row>
    <row r="41" ht="12.75" customHeight="1">
      <c r="A41" s="34" t="s">
        <v>118</v>
      </c>
      <c r="B41" s="34" t="s">
        <v>119</v>
      </c>
      <c r="C41" s="35" t="s">
        <v>120</v>
      </c>
      <c r="D41" s="36">
        <v>37340.0</v>
      </c>
      <c r="E41" s="37">
        <f t="shared" si="5"/>
        <v>3.701304231</v>
      </c>
      <c r="F41" s="36">
        <v>138206.7</v>
      </c>
      <c r="G41" s="37">
        <v>5.03</v>
      </c>
      <c r="H41" s="38">
        <v>37774.0</v>
      </c>
      <c r="I41" s="39">
        <f t="shared" si="6"/>
        <v>1.584394028</v>
      </c>
      <c r="J41" s="38">
        <v>59848.9</v>
      </c>
      <c r="K41" s="39">
        <v>4.35</v>
      </c>
    </row>
    <row r="42" ht="12.75" customHeight="1">
      <c r="A42" s="34" t="s">
        <v>121</v>
      </c>
      <c r="B42" s="34" t="s">
        <v>122</v>
      </c>
      <c r="C42" s="35" t="s">
        <v>123</v>
      </c>
      <c r="D42" s="36">
        <v>56443.0</v>
      </c>
      <c r="E42" s="37">
        <f t="shared" si="5"/>
        <v>3.770919985</v>
      </c>
      <c r="F42" s="36">
        <v>212842.0367</v>
      </c>
      <c r="G42" s="37">
        <v>7.77</v>
      </c>
      <c r="H42" s="38">
        <v>56624.0</v>
      </c>
      <c r="I42" s="39">
        <f t="shared" si="6"/>
        <v>1.428762863</v>
      </c>
      <c r="J42" s="38">
        <v>80902.26834</v>
      </c>
      <c r="K42" s="39">
        <v>2.87</v>
      </c>
    </row>
    <row r="43" ht="12.75" customHeight="1">
      <c r="A43" s="34" t="s">
        <v>124</v>
      </c>
      <c r="B43" s="34" t="s">
        <v>125</v>
      </c>
      <c r="C43" s="35" t="s">
        <v>123</v>
      </c>
      <c r="D43" s="36">
        <v>82839.0</v>
      </c>
      <c r="E43" s="37">
        <f t="shared" si="5"/>
        <v>3.340744758</v>
      </c>
      <c r="F43" s="36">
        <v>276743.955</v>
      </c>
      <c r="G43" s="37">
        <v>8.75</v>
      </c>
      <c r="H43" s="38">
        <v>87473.0</v>
      </c>
      <c r="I43" s="39">
        <f t="shared" si="6"/>
        <v>1.52822469</v>
      </c>
      <c r="J43" s="38">
        <v>133678.3983</v>
      </c>
      <c r="K43" s="39">
        <v>4.29</v>
      </c>
    </row>
    <row r="44" ht="12.75" customHeight="1">
      <c r="A44" s="34"/>
      <c r="B44" s="34"/>
      <c r="C44" s="35"/>
      <c r="D44" s="36"/>
      <c r="E44" s="37"/>
      <c r="F44" s="36"/>
      <c r="G44" s="37"/>
      <c r="H44" s="38"/>
      <c r="I44" s="39"/>
      <c r="J44" s="38"/>
      <c r="K44" s="39"/>
    </row>
    <row r="45" ht="12.75" customHeight="1">
      <c r="A45" s="34"/>
      <c r="B45" s="34"/>
      <c r="C45" s="35"/>
      <c r="D45" s="41"/>
      <c r="E45" s="36"/>
      <c r="F45" s="41"/>
      <c r="G45" s="37"/>
      <c r="H45" s="42"/>
      <c r="I45" s="39"/>
      <c r="J45" s="42"/>
      <c r="K45" s="39"/>
    </row>
    <row r="46" ht="12.75" customHeight="1">
      <c r="A46" s="34"/>
      <c r="B46" s="34"/>
      <c r="C46" s="35"/>
      <c r="D46" s="41"/>
      <c r="E46" s="36"/>
      <c r="F46" s="41"/>
      <c r="G46" s="37"/>
      <c r="H46" s="42"/>
      <c r="I46" s="39"/>
      <c r="J46" s="42"/>
      <c r="K46" s="39"/>
    </row>
    <row r="47" ht="12.75" customHeight="1">
      <c r="A47" s="34"/>
      <c r="B47" s="34"/>
      <c r="C47" s="35"/>
      <c r="D47" s="41"/>
      <c r="E47" s="37"/>
      <c r="F47" s="41"/>
      <c r="G47" s="37"/>
      <c r="H47" s="42"/>
      <c r="I47" s="39"/>
      <c r="J47" s="42"/>
      <c r="K47" s="4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1" t="s">
        <v>0</v>
      </c>
      <c r="B1" s="3" t="s">
        <v>2</v>
      </c>
      <c r="C1" s="3" t="s">
        <v>4</v>
      </c>
      <c r="D1" s="1" t="s">
        <v>5</v>
      </c>
    </row>
    <row r="2" ht="15.75" customHeight="1">
      <c r="A2" s="6">
        <v>45365.0</v>
      </c>
      <c r="B2" s="8" t="s">
        <v>7</v>
      </c>
      <c r="C2" s="9">
        <v>2023.0</v>
      </c>
      <c r="D2" s="8" t="s">
        <v>9</v>
      </c>
    </row>
    <row r="3" ht="15.75" customHeight="1">
      <c r="A3" s="10"/>
      <c r="B3" s="11"/>
      <c r="C3" s="10"/>
      <c r="D3" s="11"/>
    </row>
    <row r="4" ht="15.75" customHeight="1">
      <c r="A4" s="10"/>
      <c r="B4" s="11"/>
      <c r="C4" s="10"/>
      <c r="D4" s="11" t="s">
        <v>10</v>
      </c>
    </row>
    <row r="5" ht="15.75" customHeight="1">
      <c r="A5" s="12"/>
      <c r="B5" s="13"/>
      <c r="C5" s="9"/>
      <c r="D5" s="8"/>
    </row>
  </sheetData>
  <drawing r:id="rId1"/>
</worksheet>
</file>