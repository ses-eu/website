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MA_APT" sheetId="1" r:id="rId4"/>
    <sheet state="visible" name="Change Log" sheetId="2" r:id="rId5"/>
  </sheets>
  <definedNames/>
  <calcPr/>
</workbook>
</file>

<file path=xl/sharedStrings.xml><?xml version="1.0" encoding="utf-8"?>
<sst xmlns="http://schemas.openxmlformats.org/spreadsheetml/2006/main" count="147" uniqueCount="122">
  <si>
    <t>Data source</t>
  </si>
  <si>
    <t>EUROCONTROL</t>
  </si>
  <si>
    <t>Period Start</t>
  </si>
  <si>
    <t>Meta data</t>
  </si>
  <si>
    <t>Release date</t>
  </si>
  <si>
    <t>Period End</t>
  </si>
  <si>
    <t>Contact</t>
  </si>
  <si>
    <t>pru-support@eurocontrol.int</t>
  </si>
  <si>
    <t>ASMA ADDITIONAL TIME</t>
  </si>
  <si>
    <t xml:space="preserve"> </t>
  </si>
  <si>
    <t xml:space="preserve">  </t>
  </si>
  <si>
    <t>Period: JAN</t>
  </si>
  <si>
    <t>Airport Name</t>
  </si>
  <si>
    <t>ICAO</t>
  </si>
  <si>
    <t>State</t>
  </si>
  <si>
    <t>Arrivals</t>
  </si>
  <si>
    <t>Avg. add. ASMA time [min/arr]</t>
  </si>
  <si>
    <t>Additional ASMA time [total]</t>
  </si>
  <si>
    <t>Avg. unimp. ASMA time [min/arr]</t>
  </si>
  <si>
    <t>Brussels (EBBR)</t>
  </si>
  <si>
    <t>EBBR</t>
  </si>
  <si>
    <t>Belgium</t>
  </si>
  <si>
    <t>Berlin - Brandenburg (EDDB)</t>
  </si>
  <si>
    <t>EDDB</t>
  </si>
  <si>
    <t>Germany</t>
  </si>
  <si>
    <t>Frankfurt (EDDF)</t>
  </si>
  <si>
    <t>EDDF</t>
  </si>
  <si>
    <t>Hamburg (EDDH)</t>
  </si>
  <si>
    <t>EDDH</t>
  </si>
  <si>
    <t>Cologne-Bonn (EDDK)</t>
  </si>
  <si>
    <t>EDDK</t>
  </si>
  <si>
    <t>Dusseldorf (EDDL)</t>
  </si>
  <si>
    <t>EDDL</t>
  </si>
  <si>
    <t>Munich (EDDM)</t>
  </si>
  <si>
    <t>EDDM</t>
  </si>
  <si>
    <t>Helsinki - Vantaa (EFHK)</t>
  </si>
  <si>
    <t>EFHK</t>
  </si>
  <si>
    <t>Finland</t>
  </si>
  <si>
    <t>Amsterdam - Schiphol (EHAM)</t>
  </si>
  <si>
    <t>EHAM</t>
  </si>
  <si>
    <t>Netherlands</t>
  </si>
  <si>
    <t>Dublin (EIDW)</t>
  </si>
  <si>
    <t>EIDW</t>
  </si>
  <si>
    <t>Ireland</t>
  </si>
  <si>
    <t>Copenhagen - Kastrup (EKCH)</t>
  </si>
  <si>
    <t>EKCH</t>
  </si>
  <si>
    <t>Denmark</t>
  </si>
  <si>
    <t>Bergen (ENBR)</t>
  </si>
  <si>
    <t>ENBR</t>
  </si>
  <si>
    <t>Norway</t>
  </si>
  <si>
    <t>N/A</t>
  </si>
  <si>
    <t>Oslo - Gardermoen (ENGM)</t>
  </si>
  <si>
    <t>ENGM</t>
  </si>
  <si>
    <t>Warszawa - Chopina (EPWA)</t>
  </si>
  <si>
    <t>EPWA</t>
  </si>
  <si>
    <t>Poland</t>
  </si>
  <si>
    <t>Stockholm - Arlanda (ESSA)</t>
  </si>
  <si>
    <t>ESSA</t>
  </si>
  <si>
    <t>Sweden</t>
  </si>
  <si>
    <t>Gran Canaria (GCLP)</t>
  </si>
  <si>
    <t>GCLP</t>
  </si>
  <si>
    <t>Spain</t>
  </si>
  <si>
    <t>Alicante (LEAL)</t>
  </si>
  <si>
    <t>LEAL</t>
  </si>
  <si>
    <t>Barcelona (LEBL)</t>
  </si>
  <si>
    <t>LEBL</t>
  </si>
  <si>
    <t>Madrid - Barajas (LEMD)</t>
  </si>
  <si>
    <t>LEMD</t>
  </si>
  <si>
    <t>Málaga (LEMG)</t>
  </si>
  <si>
    <t>LEMG</t>
  </si>
  <si>
    <t>Palma de Mallorca (LEPA)</t>
  </si>
  <si>
    <t>LEPA</t>
  </si>
  <si>
    <t>Marseille-Provence (LFML)</t>
  </si>
  <si>
    <t>LFML</t>
  </si>
  <si>
    <t>France</t>
  </si>
  <si>
    <t>Nice-Côte d’Azur (LFMN)</t>
  </si>
  <si>
    <t>LFMN</t>
  </si>
  <si>
    <t>Paris-Charles-de-Gaulle (LFPG)</t>
  </si>
  <si>
    <t>LFPG</t>
  </si>
  <si>
    <t>Paris-Orly (LFPO)</t>
  </si>
  <si>
    <t>LFPO</t>
  </si>
  <si>
    <t>Athens (LGAV)</t>
  </si>
  <si>
    <t>LGAV</t>
  </si>
  <si>
    <t>Greece</t>
  </si>
  <si>
    <t>Budapest - Ferihegy (LHBP)</t>
  </si>
  <si>
    <t>LHBP</t>
  </si>
  <si>
    <t>Hungary</t>
  </si>
  <si>
    <t>Milan - Malpensa (LIMC)</t>
  </si>
  <si>
    <t>LIMC</t>
  </si>
  <si>
    <t>Italy</t>
  </si>
  <si>
    <t>Bergamo (LIME)</t>
  </si>
  <si>
    <t>LIME</t>
  </si>
  <si>
    <t>Milan - Linate (LIML)</t>
  </si>
  <si>
    <t>LIML</t>
  </si>
  <si>
    <t>Rome - Fiumicino (LIRF)</t>
  </si>
  <si>
    <t>LIRF</t>
  </si>
  <si>
    <t>Prague (LKPR)</t>
  </si>
  <si>
    <t>LKPR</t>
  </si>
  <si>
    <t>Czech Republic</t>
  </si>
  <si>
    <t>Vienna (LOWW)</t>
  </si>
  <si>
    <t>LOWW</t>
  </si>
  <si>
    <t>Austria</t>
  </si>
  <si>
    <t>Porto (LPPR)</t>
  </si>
  <si>
    <t>LPPR</t>
  </si>
  <si>
    <t>Portugal</t>
  </si>
  <si>
    <t>Lisbon (LPPT)</t>
  </si>
  <si>
    <t>LPPT</t>
  </si>
  <si>
    <t>Bucharest - Otopeni (LROP)</t>
  </si>
  <si>
    <t>LROP</t>
  </si>
  <si>
    <t>Romania</t>
  </si>
  <si>
    <t>Geneva (LSGG)</t>
  </si>
  <si>
    <t>LSGG</t>
  </si>
  <si>
    <t>Switzerland</t>
  </si>
  <si>
    <t>Zürich (LSZH)</t>
  </si>
  <si>
    <t>LSZH</t>
  </si>
  <si>
    <t>Change date</t>
  </si>
  <si>
    <t>Entity</t>
  </si>
  <si>
    <t>Period</t>
  </si>
  <si>
    <t>Comment</t>
  </si>
  <si>
    <t>EDDS</t>
  </si>
  <si>
    <t>Stuttgart added</t>
  </si>
  <si>
    <t xml:space="preserve">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</si>
</sst>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&quot; &quot;yyyy"/>
    <numFmt numFmtId="165" formatCode="m/d/yyyy"/>
    <numFmt numFmtId="166" formatCode="d mmm yyyy"/>
    <numFmt numFmtId="167" formatCode="dd-mm-yyyy"/>
  </numFmts>
  <fonts count="13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u/>
      <sz val="9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b/>
      <sz val="9.0"/>
      <color rgb="FF980000"/>
      <name val="Calibri"/>
    </font>
    <font>
      <sz val="9.0"/>
      <color rgb="FF000000"/>
      <name val="Calibri"/>
    </font>
    <font>
      <b/>
      <sz val="8.0"/>
      <color rgb="FFC00000"/>
      <name val="Calibri"/>
    </font>
    <font>
      <sz val="8.0"/>
      <color rgb="FFC00000"/>
      <name val="Calibri"/>
    </font>
    <font>
      <name val="Calibri"/>
    </font>
    <font>
      <sz val="9.0"/>
      <color rgb="FFF3F3F3"/>
      <name val="Calibri"/>
    </font>
    <font>
      <sz val="9.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</fills>
  <borders count="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/>
      <right/>
      <top/>
      <bottom style="thin">
        <color rgb="FF000000"/>
      </bottom>
    </border>
    <border>
      <bottom style="thin">
        <color rgb="FF000000"/>
      </bottom>
    </border>
    <border>
      <left/>
      <right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0"/>
    </xf>
    <xf borderId="2" fillId="2" fontId="2" numFmtId="49" xfId="0" applyAlignment="1" applyBorder="1" applyFont="1" applyNumberFormat="1">
      <alignment readingOrder="0" shrinkToFit="0" vertical="bottom" wrapText="0"/>
    </xf>
    <xf borderId="2" fillId="2" fontId="1" numFmtId="0" xfId="0" applyAlignment="1" applyBorder="1" applyFont="1">
      <alignment shrinkToFit="0" vertical="bottom" wrapText="0"/>
    </xf>
    <xf borderId="2" fillId="2" fontId="2" numFmtId="164" xfId="0" applyAlignment="1" applyBorder="1" applyFont="1" applyNumberFormat="1">
      <alignment horizontal="left" vertical="bottom"/>
    </xf>
    <xf borderId="2" fillId="2" fontId="2" numFmtId="164" xfId="0" applyAlignment="1" applyBorder="1" applyFont="1" applyNumberFormat="1">
      <alignment horizontal="left" readingOrder="0" vertical="bottom"/>
    </xf>
    <xf borderId="2" fillId="2" fontId="1" numFmtId="0" xfId="0" applyAlignment="1" applyBorder="1" applyFont="1">
      <alignment shrinkToFit="0" wrapText="0"/>
    </xf>
    <xf borderId="2" fillId="2" fontId="3" numFmtId="165" xfId="0" applyAlignment="1" applyBorder="1" applyFont="1" applyNumberFormat="1">
      <alignment horizontal="left" shrinkToFit="0" wrapText="0"/>
    </xf>
    <xf borderId="3" fillId="2" fontId="1" numFmtId="0" xfId="0" applyAlignment="1" applyBorder="1" applyFont="1">
      <alignment shrinkToFit="0" wrapText="0"/>
    </xf>
    <xf borderId="4" fillId="0" fontId="4" numFmtId="166" xfId="0" applyAlignment="1" applyBorder="1" applyFont="1" applyNumberFormat="1">
      <alignment horizontal="left" readingOrder="0" vertical="bottom"/>
    </xf>
    <xf borderId="5" fillId="2" fontId="1" numFmtId="0" xfId="0" applyAlignment="1" applyBorder="1" applyFont="1">
      <alignment vertical="bottom"/>
    </xf>
    <xf borderId="5" fillId="2" fontId="2" numFmtId="164" xfId="0" applyAlignment="1" applyBorder="1" applyFont="1" applyNumberFormat="1">
      <alignment horizontal="left" vertical="bottom"/>
    </xf>
    <xf borderId="5" fillId="2" fontId="2" numFmtId="166" xfId="0" applyAlignment="1" applyBorder="1" applyFont="1" applyNumberFormat="1">
      <alignment horizontal="left" readingOrder="0" vertical="bottom"/>
    </xf>
    <xf borderId="5" fillId="2" fontId="1" numFmtId="0" xfId="0" applyAlignment="1" applyBorder="1" applyFont="1">
      <alignment shrinkToFit="0" wrapText="0"/>
    </xf>
    <xf borderId="5" fillId="2" fontId="5" numFmtId="0" xfId="0" applyAlignment="1" applyBorder="1" applyFont="1">
      <alignment horizontal="left" readingOrder="0" shrinkToFit="0" wrapText="0"/>
    </xf>
    <xf borderId="6" fillId="3" fontId="6" numFmtId="0" xfId="0" applyAlignment="1" applyBorder="1" applyFill="1" applyFont="1">
      <alignment shrinkToFit="0" wrapText="0"/>
    </xf>
    <xf borderId="6" fillId="3" fontId="7" numFmtId="0" xfId="0" applyAlignment="1" applyBorder="1" applyFont="1">
      <alignment shrinkToFit="0" wrapText="1"/>
    </xf>
    <xf borderId="6" fillId="3" fontId="7" numFmtId="0" xfId="0" applyAlignment="1" applyBorder="1" applyFont="1">
      <alignment readingOrder="0" shrinkToFit="0" wrapText="1"/>
    </xf>
    <xf borderId="7" fillId="3" fontId="8" numFmtId="0" xfId="0" applyAlignment="1" applyBorder="1" applyFont="1">
      <alignment readingOrder="0" shrinkToFit="0" vertical="center" wrapText="0"/>
    </xf>
    <xf borderId="5" fillId="3" fontId="7" numFmtId="0" xfId="0" applyAlignment="1" applyBorder="1" applyFont="1">
      <alignment shrinkToFit="0" wrapText="1"/>
    </xf>
    <xf borderId="4" fillId="3" fontId="7" numFmtId="0" xfId="0" applyAlignment="1" applyBorder="1" applyFont="1">
      <alignment shrinkToFit="0" wrapText="1"/>
    </xf>
    <xf borderId="4" fillId="3" fontId="9" numFmtId="0" xfId="0" applyAlignment="1" applyBorder="1" applyFont="1">
      <alignment horizontal="center" readingOrder="0" shrinkToFit="0" vertical="center" wrapText="0"/>
    </xf>
    <xf borderId="0" fillId="0" fontId="10" numFmtId="0" xfId="0" applyFont="1"/>
    <xf borderId="0" fillId="0" fontId="10" numFmtId="0" xfId="0" applyAlignment="1" applyFont="1">
      <alignment readingOrder="0"/>
    </xf>
    <xf borderId="7" fillId="4" fontId="11" numFmtId="0" xfId="0" applyAlignment="1" applyBorder="1" applyFill="1" applyFont="1">
      <alignment readingOrder="0" shrinkToFit="0" wrapText="0"/>
    </xf>
    <xf borderId="0" fillId="4" fontId="11" numFmtId="0" xfId="0" applyAlignment="1" applyFont="1">
      <alignment horizontal="left" shrinkToFit="0" wrapText="0"/>
    </xf>
    <xf borderId="7" fillId="3" fontId="7" numFmtId="2" xfId="0" applyAlignment="1" applyBorder="1" applyFont="1" applyNumberFormat="1">
      <alignment readingOrder="0" vertical="bottom"/>
    </xf>
    <xf borderId="0" fillId="3" fontId="7" numFmtId="0" xfId="0" applyAlignment="1" applyFont="1">
      <alignment readingOrder="0" vertical="bottom"/>
    </xf>
    <xf borderId="7" fillId="3" fontId="7" numFmtId="3" xfId="0" applyAlignment="1" applyBorder="1" applyFont="1" applyNumberFormat="1">
      <alignment horizontal="right" readingOrder="0" shrinkToFit="0" vertical="center" wrapText="0"/>
    </xf>
    <xf borderId="7" fillId="3" fontId="7" numFmtId="4" xfId="0" applyAlignment="1" applyBorder="1" applyFont="1" applyNumberFormat="1">
      <alignment horizontal="right" readingOrder="0" shrinkToFit="0" vertical="center" wrapText="0"/>
    </xf>
    <xf borderId="7" fillId="3" fontId="7" numFmtId="2" xfId="0" applyAlignment="1" applyBorder="1" applyFont="1" applyNumberFormat="1">
      <alignment horizontal="right" readingOrder="0" shrinkToFit="0" vertical="center" wrapText="0"/>
    </xf>
    <xf borderId="7" fillId="3" fontId="7" numFmtId="0" xfId="0" applyAlignment="1" applyBorder="1" applyFont="1">
      <alignment readingOrder="0" vertical="bottom"/>
    </xf>
    <xf borderId="7" fillId="3" fontId="7" numFmtId="3" xfId="0" applyAlignment="1" applyBorder="1" applyFont="1" applyNumberFormat="1">
      <alignment readingOrder="0" shrinkToFit="0" vertical="center" wrapText="0"/>
    </xf>
    <xf borderId="7" fillId="3" fontId="7" numFmtId="4" xfId="0" applyAlignment="1" applyBorder="1" applyFont="1" applyNumberFormat="1">
      <alignment readingOrder="0" shrinkToFit="0" vertical="center" wrapText="0"/>
    </xf>
    <xf borderId="7" fillId="3" fontId="7" numFmtId="2" xfId="0" applyAlignment="1" applyBorder="1" applyFont="1" applyNumberFormat="1">
      <alignment readingOrder="0" shrinkToFit="0" vertical="center" wrapText="0"/>
    </xf>
    <xf borderId="0" fillId="4" fontId="11" numFmtId="0" xfId="0" applyAlignment="1" applyFont="1">
      <alignment shrinkToFit="0" wrapText="0"/>
    </xf>
    <xf borderId="0" fillId="4" fontId="11" numFmtId="0" xfId="0" applyAlignment="1" applyFont="1">
      <alignment horizontal="center" shrinkToFit="0" wrapText="0"/>
    </xf>
    <xf borderId="0" fillId="3" fontId="12" numFmtId="167" xfId="0" applyAlignment="1" applyFont="1" applyNumberFormat="1">
      <alignment horizontal="center" readingOrder="0" shrinkToFit="0" vertical="bottom" wrapText="0"/>
    </xf>
    <xf borderId="0" fillId="3" fontId="7" numFmtId="0" xfId="0" applyAlignment="1" applyFont="1">
      <alignment horizontal="center" readingOrder="0" shrinkToFit="0" vertical="bottom" wrapText="0"/>
    </xf>
    <xf borderId="0" fillId="3" fontId="12" numFmtId="0" xfId="0" applyAlignment="1" applyFont="1">
      <alignment horizontal="center" readingOrder="0" shrinkToFit="0" vertical="bottom" wrapText="0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horizontal="center" readingOrder="0" shrinkToFit="0" wrapText="0"/>
    </xf>
    <xf borderId="0" fillId="3" fontId="12" numFmtId="164" xfId="0" applyAlignment="1" applyFont="1" applyNumberFormat="1">
      <alignment horizontal="center" readingOrder="0" shrinkToFit="0" vertical="bottom" wrapText="0"/>
    </xf>
    <xf borderId="0" fillId="3" fontId="7" numFmtId="17" xfId="0" applyAlignment="1" applyFont="1" applyNumberFormat="1">
      <alignment vertical="bottom"/>
    </xf>
    <xf borderId="0" fillId="3" fontId="7" numFmtId="0" xfId="0" applyAlignment="1" applyFont="1">
      <alignment horizontal="center" shrinkToFit="0" vertical="bottom" wrapText="0"/>
    </xf>
    <xf borderId="0" fillId="3" fontId="12" numFmtId="164" xfId="0" applyAlignment="1" applyFont="1" applyNumberFormat="1">
      <alignment horizontal="center" shrinkToFit="0" vertical="bottom" wrapText="0"/>
    </xf>
    <xf borderId="0" fillId="3" fontId="7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5.13" defaultRowHeight="15.0"/>
  <cols>
    <col customWidth="1" min="1" max="1" width="20.5"/>
    <col customWidth="1" min="2" max="2" width="15.5"/>
    <col customWidth="1" min="3" max="3" width="13.25"/>
    <col customWidth="1" min="4" max="5" width="22.75"/>
    <col customWidth="1" min="6" max="6" width="18.13"/>
    <col customWidth="1" min="7" max="7" width="20.75"/>
  </cols>
  <sheetData>
    <row r="1" ht="12.75" customHeight="1">
      <c r="A1" s="1" t="s">
        <v>0</v>
      </c>
      <c r="B1" s="2" t="s">
        <v>1</v>
      </c>
      <c r="C1" s="3" t="s">
        <v>2</v>
      </c>
      <c r="D1" s="4"/>
      <c r="E1" s="5">
        <v>46023.0</v>
      </c>
      <c r="F1" s="6" t="s">
        <v>3</v>
      </c>
      <c r="G1" s="7" t="str">
        <f>HYPERLINK("https://www.eurocontrol.int/prudata/dashboard/metadata/additional-asma-time/","ASMA additional time")</f>
        <v>ASMA additional time</v>
      </c>
    </row>
    <row r="2" ht="12.75" customHeight="1">
      <c r="A2" s="8" t="s">
        <v>4</v>
      </c>
      <c r="B2" s="9">
        <v>46098.0</v>
      </c>
      <c r="C2" s="10" t="s">
        <v>5</v>
      </c>
      <c r="D2" s="11"/>
      <c r="E2" s="12">
        <v>46053.0</v>
      </c>
      <c r="F2" s="13" t="s">
        <v>6</v>
      </c>
      <c r="G2" s="14" t="s">
        <v>7</v>
      </c>
    </row>
    <row r="3" ht="12.75" customHeight="1">
      <c r="A3" s="15" t="s">
        <v>8</v>
      </c>
      <c r="B3" s="16"/>
      <c r="C3" s="16"/>
      <c r="D3" s="16"/>
      <c r="E3" s="17" t="s">
        <v>9</v>
      </c>
      <c r="F3" s="17" t="s">
        <v>10</v>
      </c>
      <c r="G3" s="17" t="s">
        <v>9</v>
      </c>
    </row>
    <row r="4" ht="12.75" customHeight="1">
      <c r="A4" s="18" t="s">
        <v>11</v>
      </c>
      <c r="B4" s="19"/>
      <c r="C4" s="20"/>
      <c r="D4" s="21"/>
      <c r="E4" s="21" t="s">
        <v>9</v>
      </c>
      <c r="F4" s="22"/>
      <c r="G4" s="23" t="s">
        <v>9</v>
      </c>
    </row>
    <row r="5" ht="12.75" customHeight="1">
      <c r="A5" s="24" t="s">
        <v>12</v>
      </c>
      <c r="B5" s="24" t="s">
        <v>13</v>
      </c>
      <c r="C5" s="24" t="s">
        <v>14</v>
      </c>
      <c r="D5" s="25" t="s">
        <v>15</v>
      </c>
      <c r="E5" s="24" t="s">
        <v>16</v>
      </c>
      <c r="F5" s="24" t="s">
        <v>17</v>
      </c>
      <c r="G5" s="24" t="s">
        <v>18</v>
      </c>
    </row>
    <row r="6" ht="12.75" customHeight="1">
      <c r="A6" s="26" t="s">
        <v>19</v>
      </c>
      <c r="B6" s="26" t="s">
        <v>20</v>
      </c>
      <c r="C6" s="27" t="s">
        <v>21</v>
      </c>
      <c r="D6" s="28">
        <v>5544.0</v>
      </c>
      <c r="E6" s="29">
        <f t="shared" ref="E6:E16" si="1">F6/D6</f>
        <v>2.131916337</v>
      </c>
      <c r="F6" s="28">
        <v>11819.34417</v>
      </c>
      <c r="G6" s="30">
        <v>11.29</v>
      </c>
    </row>
    <row r="7" ht="12.75" customHeight="1">
      <c r="A7" s="26" t="s">
        <v>22</v>
      </c>
      <c r="B7" s="26" t="s">
        <v>23</v>
      </c>
      <c r="C7" s="31" t="s">
        <v>24</v>
      </c>
      <c r="D7" s="28">
        <v>5279.0</v>
      </c>
      <c r="E7" s="29">
        <f t="shared" si="1"/>
        <v>2.700053671</v>
      </c>
      <c r="F7" s="28">
        <v>14253.58333</v>
      </c>
      <c r="G7" s="29">
        <v>11.58</v>
      </c>
    </row>
    <row r="8" ht="12.75" customHeight="1">
      <c r="A8" s="26" t="s">
        <v>25</v>
      </c>
      <c r="B8" s="26" t="s">
        <v>26</v>
      </c>
      <c r="C8" s="31" t="s">
        <v>24</v>
      </c>
      <c r="D8" s="28">
        <v>13752.0</v>
      </c>
      <c r="E8" s="29">
        <f t="shared" si="1"/>
        <v>2.915887992</v>
      </c>
      <c r="F8" s="28">
        <v>40099.29167</v>
      </c>
      <c r="G8" s="30">
        <v>12.82</v>
      </c>
    </row>
    <row r="9" ht="12.75" customHeight="1">
      <c r="A9" s="26" t="s">
        <v>27</v>
      </c>
      <c r="B9" s="26" t="s">
        <v>28</v>
      </c>
      <c r="C9" s="31" t="s">
        <v>24</v>
      </c>
      <c r="D9" s="28">
        <v>3218.0</v>
      </c>
      <c r="E9" s="29">
        <f t="shared" si="1"/>
        <v>2.997866945</v>
      </c>
      <c r="F9" s="28">
        <v>9647.13583</v>
      </c>
      <c r="G9" s="29">
        <v>12.42</v>
      </c>
    </row>
    <row r="10" ht="12.75" customHeight="1">
      <c r="A10" s="26" t="s">
        <v>29</v>
      </c>
      <c r="B10" s="26" t="s">
        <v>30</v>
      </c>
      <c r="C10" s="31" t="s">
        <v>24</v>
      </c>
      <c r="D10" s="28">
        <v>1704.0</v>
      </c>
      <c r="E10" s="29">
        <f t="shared" si="1"/>
        <v>1.998916273</v>
      </c>
      <c r="F10" s="28">
        <v>3406.15333</v>
      </c>
      <c r="G10" s="29">
        <v>12.61</v>
      </c>
    </row>
    <row r="11" ht="12.75" customHeight="1">
      <c r="A11" s="26" t="s">
        <v>31</v>
      </c>
      <c r="B11" s="26" t="s">
        <v>32</v>
      </c>
      <c r="C11" s="31" t="s">
        <v>24</v>
      </c>
      <c r="D11" s="28">
        <v>4149.0</v>
      </c>
      <c r="E11" s="29">
        <f t="shared" si="1"/>
        <v>1.77140596</v>
      </c>
      <c r="F11" s="28">
        <v>7349.56333</v>
      </c>
      <c r="G11" s="30">
        <v>11.94</v>
      </c>
    </row>
    <row r="12" ht="12.75" customHeight="1">
      <c r="A12" s="26" t="s">
        <v>33</v>
      </c>
      <c r="B12" s="26" t="s">
        <v>34</v>
      </c>
      <c r="C12" s="31" t="s">
        <v>24</v>
      </c>
      <c r="D12" s="28">
        <v>9767.0</v>
      </c>
      <c r="E12" s="29">
        <f t="shared" si="1"/>
        <v>2.51270315</v>
      </c>
      <c r="F12" s="28">
        <v>24541.57167</v>
      </c>
      <c r="G12" s="30">
        <v>11.51</v>
      </c>
    </row>
    <row r="13" ht="12.75" customHeight="1">
      <c r="A13" s="26" t="s">
        <v>35</v>
      </c>
      <c r="B13" s="26" t="s">
        <v>36</v>
      </c>
      <c r="C13" s="31" t="s">
        <v>37</v>
      </c>
      <c r="D13" s="28">
        <v>4152.0</v>
      </c>
      <c r="E13" s="29">
        <f t="shared" si="1"/>
        <v>2.710764289</v>
      </c>
      <c r="F13" s="28">
        <v>11255.09333</v>
      </c>
      <c r="G13" s="30">
        <v>10.68</v>
      </c>
    </row>
    <row r="14" ht="12.75" customHeight="1">
      <c r="A14" s="26" t="s">
        <v>38</v>
      </c>
      <c r="B14" s="26" t="s">
        <v>39</v>
      </c>
      <c r="C14" s="31" t="s">
        <v>40</v>
      </c>
      <c r="D14" s="28">
        <v>14272.0</v>
      </c>
      <c r="E14" s="29">
        <f t="shared" si="1"/>
        <v>2.648199329</v>
      </c>
      <c r="F14" s="28">
        <v>37795.10083</v>
      </c>
      <c r="G14" s="30">
        <v>12.25</v>
      </c>
    </row>
    <row r="15" ht="12.75" customHeight="1">
      <c r="A15" s="26" t="s">
        <v>41</v>
      </c>
      <c r="B15" s="26" t="s">
        <v>42</v>
      </c>
      <c r="C15" s="31" t="s">
        <v>43</v>
      </c>
      <c r="D15" s="28">
        <v>7542.0</v>
      </c>
      <c r="E15" s="29">
        <f t="shared" si="1"/>
        <v>3.208824582</v>
      </c>
      <c r="F15" s="28">
        <v>24200.955</v>
      </c>
      <c r="G15" s="29">
        <v>12.27</v>
      </c>
    </row>
    <row r="16" ht="12.75" customHeight="1">
      <c r="A16" s="26" t="s">
        <v>44</v>
      </c>
      <c r="B16" s="26" t="s">
        <v>45</v>
      </c>
      <c r="C16" s="31" t="s">
        <v>46</v>
      </c>
      <c r="D16" s="28">
        <v>7287.0</v>
      </c>
      <c r="E16" s="29">
        <f t="shared" si="1"/>
        <v>2.972042565</v>
      </c>
      <c r="F16" s="28">
        <v>21657.27417</v>
      </c>
      <c r="G16" s="30">
        <v>11.7</v>
      </c>
    </row>
    <row r="17" ht="12.75" customHeight="1">
      <c r="A17" s="26" t="s">
        <v>47</v>
      </c>
      <c r="B17" s="26" t="s">
        <v>48</v>
      </c>
      <c r="C17" s="31" t="s">
        <v>49</v>
      </c>
      <c r="D17" s="29" t="s">
        <v>50</v>
      </c>
      <c r="E17" s="29" t="s">
        <v>50</v>
      </c>
      <c r="F17" s="29" t="s">
        <v>50</v>
      </c>
      <c r="G17" s="29" t="s">
        <v>50</v>
      </c>
    </row>
    <row r="18" ht="12.75" customHeight="1">
      <c r="A18" s="26" t="s">
        <v>51</v>
      </c>
      <c r="B18" s="26" t="s">
        <v>52</v>
      </c>
      <c r="C18" s="31" t="s">
        <v>49</v>
      </c>
      <c r="D18" s="28">
        <v>6999.0</v>
      </c>
      <c r="E18" s="29">
        <f t="shared" ref="E18:E43" si="2">F18/D18</f>
        <v>2.867805639</v>
      </c>
      <c r="F18" s="28">
        <v>20071.77167</v>
      </c>
      <c r="G18" s="30">
        <v>11.89</v>
      </c>
    </row>
    <row r="19" ht="12.75" customHeight="1">
      <c r="A19" s="26" t="s">
        <v>53</v>
      </c>
      <c r="B19" s="26" t="s">
        <v>54</v>
      </c>
      <c r="C19" s="31" t="s">
        <v>55</v>
      </c>
      <c r="D19" s="28">
        <v>6046.0</v>
      </c>
      <c r="E19" s="29">
        <f t="shared" si="2"/>
        <v>3.140283796</v>
      </c>
      <c r="F19" s="28">
        <v>18986.15583</v>
      </c>
      <c r="G19" s="29">
        <v>10.83</v>
      </c>
    </row>
    <row r="20" ht="12.75" customHeight="1">
      <c r="A20" s="26" t="s">
        <v>56</v>
      </c>
      <c r="B20" s="26" t="s">
        <v>57</v>
      </c>
      <c r="C20" s="31" t="s">
        <v>58</v>
      </c>
      <c r="D20" s="28">
        <v>5745.0</v>
      </c>
      <c r="E20" s="29">
        <f t="shared" si="2"/>
        <v>2.548751958</v>
      </c>
      <c r="F20" s="28">
        <v>14642.58</v>
      </c>
      <c r="G20" s="30">
        <v>11.58</v>
      </c>
    </row>
    <row r="21" ht="12.75" customHeight="1">
      <c r="A21" s="26" t="s">
        <v>59</v>
      </c>
      <c r="B21" s="26" t="s">
        <v>60</v>
      </c>
      <c r="C21" s="31" t="s">
        <v>61</v>
      </c>
      <c r="D21" s="28">
        <v>4681.0</v>
      </c>
      <c r="E21" s="29">
        <f t="shared" si="2"/>
        <v>3.162640105</v>
      </c>
      <c r="F21" s="28">
        <v>14804.31833</v>
      </c>
      <c r="G21" s="30">
        <v>13.09</v>
      </c>
    </row>
    <row r="22" ht="12.75" customHeight="1">
      <c r="A22" s="26" t="s">
        <v>62</v>
      </c>
      <c r="B22" s="26" t="s">
        <v>63</v>
      </c>
      <c r="C22" s="31" t="s">
        <v>61</v>
      </c>
      <c r="D22" s="28">
        <v>3142.0</v>
      </c>
      <c r="E22" s="29">
        <f t="shared" si="2"/>
        <v>2.385853224</v>
      </c>
      <c r="F22" s="28">
        <v>7496.35083</v>
      </c>
      <c r="G22" s="29">
        <v>11.9</v>
      </c>
    </row>
    <row r="23" ht="12.75" customHeight="1">
      <c r="A23" s="26" t="s">
        <v>64</v>
      </c>
      <c r="B23" s="26" t="s">
        <v>65</v>
      </c>
      <c r="C23" s="31" t="s">
        <v>61</v>
      </c>
      <c r="D23" s="28">
        <v>9767.0</v>
      </c>
      <c r="E23" s="29">
        <f t="shared" si="2"/>
        <v>3.351398246</v>
      </c>
      <c r="F23" s="28">
        <v>32733.10667</v>
      </c>
      <c r="G23" s="29">
        <v>12.0</v>
      </c>
    </row>
    <row r="24" ht="12.75" customHeight="1">
      <c r="A24" s="26" t="s">
        <v>66</v>
      </c>
      <c r="B24" s="26" t="s">
        <v>67</v>
      </c>
      <c r="C24" s="31" t="s">
        <v>61</v>
      </c>
      <c r="D24" s="28">
        <v>13874.0</v>
      </c>
      <c r="E24" s="29">
        <f t="shared" si="2"/>
        <v>3.002575381</v>
      </c>
      <c r="F24" s="28">
        <v>41657.73083</v>
      </c>
      <c r="G24" s="29">
        <v>11.55</v>
      </c>
    </row>
    <row r="25" ht="12.75" customHeight="1">
      <c r="A25" s="26" t="s">
        <v>68</v>
      </c>
      <c r="B25" s="26" t="s">
        <v>69</v>
      </c>
      <c r="C25" s="31" t="s">
        <v>61</v>
      </c>
      <c r="D25" s="28">
        <v>4328.0</v>
      </c>
      <c r="E25" s="29">
        <f t="shared" si="2"/>
        <v>3.426930839</v>
      </c>
      <c r="F25" s="28">
        <v>14831.75667</v>
      </c>
      <c r="G25" s="29">
        <v>12.88</v>
      </c>
    </row>
    <row r="26" ht="12.75" customHeight="1">
      <c r="A26" s="26" t="s">
        <v>70</v>
      </c>
      <c r="B26" s="26" t="s">
        <v>71</v>
      </c>
      <c r="C26" s="31" t="s">
        <v>61</v>
      </c>
      <c r="D26" s="28">
        <v>2851.0</v>
      </c>
      <c r="E26" s="29">
        <f t="shared" si="2"/>
        <v>1.805728983</v>
      </c>
      <c r="F26" s="28">
        <v>5148.13333</v>
      </c>
      <c r="G26" s="30">
        <v>12.11</v>
      </c>
    </row>
    <row r="27" ht="12.75" customHeight="1">
      <c r="A27" s="26" t="s">
        <v>72</v>
      </c>
      <c r="B27" s="26" t="s">
        <v>73</v>
      </c>
      <c r="C27" s="31" t="s">
        <v>74</v>
      </c>
      <c r="D27" s="28">
        <v>2491.0</v>
      </c>
      <c r="E27" s="29">
        <f t="shared" si="2"/>
        <v>3.465328515</v>
      </c>
      <c r="F27" s="28">
        <v>8632.13333</v>
      </c>
      <c r="G27" s="30">
        <v>9.17</v>
      </c>
    </row>
    <row r="28" ht="12.75" customHeight="1">
      <c r="A28" s="26" t="s">
        <v>75</v>
      </c>
      <c r="B28" s="26" t="s">
        <v>76</v>
      </c>
      <c r="C28" s="31" t="s">
        <v>74</v>
      </c>
      <c r="D28" s="28">
        <v>3423.0</v>
      </c>
      <c r="E28" s="29">
        <f t="shared" si="2"/>
        <v>3.862778753</v>
      </c>
      <c r="F28" s="28">
        <v>13222.29167</v>
      </c>
      <c r="G28" s="29">
        <v>12.08</v>
      </c>
    </row>
    <row r="29" ht="12.75" customHeight="1">
      <c r="A29" s="26" t="s">
        <v>77</v>
      </c>
      <c r="B29" s="26" t="s">
        <v>78</v>
      </c>
      <c r="C29" s="31" t="s">
        <v>74</v>
      </c>
      <c r="D29" s="28">
        <v>14517.0</v>
      </c>
      <c r="E29" s="29">
        <f t="shared" si="2"/>
        <v>2.666886868</v>
      </c>
      <c r="F29" s="28">
        <v>38715.19667</v>
      </c>
      <c r="G29" s="29">
        <v>13.53</v>
      </c>
    </row>
    <row r="30" ht="12.75" customHeight="1">
      <c r="A30" s="26" t="s">
        <v>79</v>
      </c>
      <c r="B30" s="26" t="s">
        <v>80</v>
      </c>
      <c r="C30" s="31" t="s">
        <v>74</v>
      </c>
      <c r="D30" s="28">
        <v>6612.0</v>
      </c>
      <c r="E30" s="29">
        <f t="shared" si="2"/>
        <v>2.381733716</v>
      </c>
      <c r="F30" s="28">
        <v>15748.02333</v>
      </c>
      <c r="G30" s="30">
        <v>12.87</v>
      </c>
    </row>
    <row r="31" ht="12.75" customHeight="1">
      <c r="A31" s="26" t="s">
        <v>81</v>
      </c>
      <c r="B31" s="26" t="s">
        <v>82</v>
      </c>
      <c r="C31" s="31" t="s">
        <v>83</v>
      </c>
      <c r="D31" s="28">
        <v>6543.0</v>
      </c>
      <c r="E31" s="29">
        <f t="shared" si="2"/>
        <v>3.230676677</v>
      </c>
      <c r="F31" s="28">
        <v>21138.3175</v>
      </c>
      <c r="G31" s="29">
        <v>11.68</v>
      </c>
    </row>
    <row r="32" ht="12.75" customHeight="1">
      <c r="A32" s="26" t="s">
        <v>84</v>
      </c>
      <c r="B32" s="26" t="s">
        <v>85</v>
      </c>
      <c r="C32" s="31" t="s">
        <v>86</v>
      </c>
      <c r="D32" s="28">
        <v>3661.0</v>
      </c>
      <c r="E32" s="29">
        <f t="shared" si="2"/>
        <v>2.548169216</v>
      </c>
      <c r="F32" s="28">
        <v>9328.8475</v>
      </c>
      <c r="G32" s="30">
        <v>12.05</v>
      </c>
    </row>
    <row r="33" ht="12.75" customHeight="1">
      <c r="A33" s="26" t="s">
        <v>87</v>
      </c>
      <c r="B33" s="26" t="s">
        <v>88</v>
      </c>
      <c r="C33" s="31" t="s">
        <v>89</v>
      </c>
      <c r="D33" s="28">
        <v>5934.0</v>
      </c>
      <c r="E33" s="29">
        <f t="shared" si="2"/>
        <v>3.501401528</v>
      </c>
      <c r="F33" s="28">
        <v>20777.31667</v>
      </c>
      <c r="G33" s="29">
        <v>11.3</v>
      </c>
    </row>
    <row r="34" ht="12.75" customHeight="1">
      <c r="A34" s="26" t="s">
        <v>90</v>
      </c>
      <c r="B34" s="26" t="s">
        <v>91</v>
      </c>
      <c r="C34" s="31" t="s">
        <v>89</v>
      </c>
      <c r="D34" s="28">
        <v>2797.0</v>
      </c>
      <c r="E34" s="29">
        <f t="shared" si="2"/>
        <v>3.002776786</v>
      </c>
      <c r="F34" s="28">
        <v>8398.76667</v>
      </c>
      <c r="G34" s="30">
        <v>11.95</v>
      </c>
    </row>
    <row r="35" ht="12.75" customHeight="1">
      <c r="A35" s="26" t="s">
        <v>92</v>
      </c>
      <c r="B35" s="26" t="s">
        <v>93</v>
      </c>
      <c r="C35" s="31" t="s">
        <v>89</v>
      </c>
      <c r="D35" s="28">
        <v>4110.0</v>
      </c>
      <c r="E35" s="29">
        <f t="shared" si="2"/>
        <v>3.039548864</v>
      </c>
      <c r="F35" s="28">
        <v>12492.54583</v>
      </c>
      <c r="G35" s="30">
        <v>10.63</v>
      </c>
    </row>
    <row r="36" ht="12.75" customHeight="1">
      <c r="A36" s="26" t="s">
        <v>94</v>
      </c>
      <c r="B36" s="26" t="s">
        <v>95</v>
      </c>
      <c r="C36" s="31" t="s">
        <v>89</v>
      </c>
      <c r="D36" s="28">
        <v>9240.0</v>
      </c>
      <c r="E36" s="29">
        <f t="shared" si="2"/>
        <v>3.01058162</v>
      </c>
      <c r="F36" s="28">
        <v>27817.77417</v>
      </c>
      <c r="G36" s="30">
        <v>10.89</v>
      </c>
    </row>
    <row r="37" ht="12.75" customHeight="1">
      <c r="A37" s="26" t="s">
        <v>96</v>
      </c>
      <c r="B37" s="26" t="s">
        <v>97</v>
      </c>
      <c r="C37" s="31" t="s">
        <v>98</v>
      </c>
      <c r="D37" s="28">
        <v>3694.0</v>
      </c>
      <c r="E37" s="29">
        <f t="shared" si="2"/>
        <v>3.101038622</v>
      </c>
      <c r="F37" s="28">
        <v>11455.23667</v>
      </c>
      <c r="G37" s="29">
        <v>11.41</v>
      </c>
    </row>
    <row r="38" ht="12.75" customHeight="1">
      <c r="A38" s="26" t="s">
        <v>99</v>
      </c>
      <c r="B38" s="26" t="s">
        <v>100</v>
      </c>
      <c r="C38" s="31" t="s">
        <v>101</v>
      </c>
      <c r="D38" s="28">
        <v>6850.0</v>
      </c>
      <c r="E38" s="29">
        <f t="shared" si="2"/>
        <v>2.80434854</v>
      </c>
      <c r="F38" s="28">
        <v>19209.7875</v>
      </c>
      <c r="G38" s="29">
        <v>11.11</v>
      </c>
    </row>
    <row r="39" ht="12.75" customHeight="1">
      <c r="A39" s="26" t="s">
        <v>102</v>
      </c>
      <c r="B39" s="26" t="s">
        <v>103</v>
      </c>
      <c r="C39" s="31" t="s">
        <v>104</v>
      </c>
      <c r="D39" s="28">
        <v>3113.0</v>
      </c>
      <c r="E39" s="29">
        <f t="shared" si="2"/>
        <v>3.244888371</v>
      </c>
      <c r="F39" s="28">
        <v>10101.3375</v>
      </c>
      <c r="G39" s="29">
        <v>11.92</v>
      </c>
    </row>
    <row r="40" ht="12.75" customHeight="1">
      <c r="A40" s="26" t="s">
        <v>105</v>
      </c>
      <c r="B40" s="26" t="s">
        <v>106</v>
      </c>
      <c r="C40" s="31" t="s">
        <v>104</v>
      </c>
      <c r="D40" s="28">
        <v>7193.0</v>
      </c>
      <c r="E40" s="29">
        <f t="shared" si="2"/>
        <v>4.713419644</v>
      </c>
      <c r="F40" s="28">
        <v>33903.6275</v>
      </c>
      <c r="G40" s="29">
        <v>12.89</v>
      </c>
    </row>
    <row r="41" ht="12.75" customHeight="1">
      <c r="A41" s="26" t="s">
        <v>107</v>
      </c>
      <c r="B41" s="26" t="s">
        <v>108</v>
      </c>
      <c r="C41" s="31" t="s">
        <v>109</v>
      </c>
      <c r="D41" s="28">
        <v>3075.0</v>
      </c>
      <c r="E41" s="29">
        <f t="shared" si="2"/>
        <v>2.593561246</v>
      </c>
      <c r="F41" s="28">
        <v>7975.20083</v>
      </c>
      <c r="G41" s="30">
        <v>10.52</v>
      </c>
    </row>
    <row r="42" ht="12.75" customHeight="1">
      <c r="A42" s="26" t="s">
        <v>110</v>
      </c>
      <c r="B42" s="26" t="s">
        <v>111</v>
      </c>
      <c r="C42" s="31" t="s">
        <v>112</v>
      </c>
      <c r="D42" s="28">
        <v>6118.0</v>
      </c>
      <c r="E42" s="29">
        <f t="shared" si="2"/>
        <v>4.043693473</v>
      </c>
      <c r="F42" s="28">
        <v>24739.31667</v>
      </c>
      <c r="G42" s="30">
        <v>11.8</v>
      </c>
    </row>
    <row r="43" ht="12.75" customHeight="1">
      <c r="A43" s="26" t="s">
        <v>113</v>
      </c>
      <c r="B43" s="26" t="s">
        <v>114</v>
      </c>
      <c r="C43" s="31" t="s">
        <v>112</v>
      </c>
      <c r="D43" s="28">
        <v>8491.0</v>
      </c>
      <c r="E43" s="29">
        <f t="shared" si="2"/>
        <v>3.266013426</v>
      </c>
      <c r="F43" s="28">
        <v>27731.72</v>
      </c>
      <c r="G43" s="30">
        <v>11.93</v>
      </c>
    </row>
    <row r="44" ht="12.75" customHeight="1">
      <c r="A44" s="26"/>
      <c r="B44" s="26"/>
      <c r="C44" s="31"/>
      <c r="D44" s="32"/>
      <c r="E44" s="33"/>
      <c r="F44" s="32"/>
      <c r="G44" s="33"/>
    </row>
    <row r="45" ht="12.75" customHeight="1">
      <c r="A45" s="26"/>
      <c r="B45" s="26"/>
      <c r="C45" s="31"/>
      <c r="D45" s="32"/>
      <c r="E45" s="33"/>
      <c r="F45" s="32"/>
      <c r="G45" s="33"/>
    </row>
    <row r="46" ht="12.75" customHeight="1">
      <c r="A46" s="26"/>
      <c r="B46" s="26"/>
      <c r="C46" s="31"/>
      <c r="D46" s="32"/>
      <c r="E46" s="33"/>
      <c r="F46" s="32"/>
      <c r="G46" s="34"/>
    </row>
    <row r="47" ht="12.75" customHeight="1">
      <c r="A47" s="26"/>
      <c r="B47" s="26"/>
      <c r="C47" s="31"/>
      <c r="D47" s="32"/>
      <c r="E47" s="33"/>
      <c r="F47" s="32"/>
      <c r="G47" s="3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3.0"/>
    <col customWidth="1" min="2" max="2" width="15.88"/>
    <col customWidth="1" min="3" max="3" width="7.0"/>
    <col customWidth="1" min="4" max="4" width="68.75"/>
  </cols>
  <sheetData>
    <row r="1" ht="12.75" customHeight="1">
      <c r="A1" s="35" t="s">
        <v>115</v>
      </c>
      <c r="B1" s="36" t="s">
        <v>116</v>
      </c>
      <c r="C1" s="36" t="s">
        <v>117</v>
      </c>
      <c r="D1" s="35" t="s">
        <v>118</v>
      </c>
    </row>
    <row r="2" ht="12.75" customHeight="1">
      <c r="A2" s="37">
        <v>45364.0</v>
      </c>
      <c r="B2" s="27" t="s">
        <v>119</v>
      </c>
      <c r="C2" s="38">
        <v>2023.0</v>
      </c>
      <c r="D2" s="27" t="s">
        <v>120</v>
      </c>
    </row>
    <row r="3" ht="12.75" customHeight="1">
      <c r="A3" s="39"/>
      <c r="B3" s="40"/>
      <c r="C3" s="41"/>
      <c r="D3" s="40"/>
    </row>
    <row r="4" ht="12.75" customHeight="1">
      <c r="A4" s="42"/>
      <c r="B4" s="43"/>
      <c r="C4" s="44"/>
      <c r="D4" s="27" t="s">
        <v>121</v>
      </c>
    </row>
    <row r="5" ht="12.75" customHeight="1">
      <c r="A5" s="45"/>
      <c r="B5" s="43"/>
      <c r="C5" s="44"/>
      <c r="D5" s="46"/>
    </row>
  </sheetData>
  <drawing r:id="rId1"/>
</worksheet>
</file>