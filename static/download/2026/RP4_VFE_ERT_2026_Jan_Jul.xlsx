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VFE_SES" sheetId="1" r:id="rId4"/>
    <sheet state="visible" name="ERT_VFE_FAB" sheetId="2" r:id="rId5"/>
    <sheet state="visible" name="ERT_VFE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<sst xmlns="http://schemas.openxmlformats.org/spreadsheetml/2006/main" count="115" uniqueCount="65">
  <si>
    <t>Data source</t>
  </si>
  <si>
    <t>EUROCONTROL</t>
  </si>
  <si>
    <t>Change date</t>
  </si>
  <si>
    <t xml:space="preserve">EUROCONTROL </t>
  </si>
  <si>
    <t>Period Start</t>
  </si>
  <si>
    <t>Entity</t>
  </si>
  <si>
    <t xml:space="preserve"> </t>
  </si>
  <si>
    <t>Meta data</t>
  </si>
  <si>
    <t>Period</t>
  </si>
  <si>
    <t>Comment</t>
  </si>
  <si>
    <t>Release date</t>
  </si>
  <si>
    <t>Period End</t>
  </si>
  <si>
    <t>Contact</t>
  </si>
  <si>
    <t>pru-support@eurocontrol.int</t>
  </si>
  <si>
    <t xml:space="preserve">  </t>
  </si>
  <si>
    <t>Vertical en-route flight efficiency</t>
  </si>
  <si>
    <t>Year</t>
  </si>
  <si>
    <t>Total distance (km)</t>
  </si>
  <si>
    <t>Distance flown at altitudes ≥ Requested FL - 1000 ft</t>
  </si>
  <si>
    <t>Indicator (%)</t>
  </si>
  <si>
    <t>SES AREA (RP4)</t>
  </si>
  <si>
    <t>FAB level</t>
  </si>
  <si>
    <t>2025</t>
  </si>
  <si>
    <t>2026</t>
  </si>
  <si>
    <t>State (FIR)</t>
  </si>
  <si>
    <t>Baltic FAB</t>
  </si>
  <si>
    <t>Austria</t>
  </si>
  <si>
    <t>BLUE MED FAB</t>
  </si>
  <si>
    <t>2027</t>
  </si>
  <si>
    <t>DANUBE FAB</t>
  </si>
  <si>
    <t>2028</t>
  </si>
  <si>
    <t>DK-SE FAB</t>
  </si>
  <si>
    <t>2029</t>
  </si>
  <si>
    <t>FAB CE (SES RP2)</t>
  </si>
  <si>
    <t>Belgium</t>
  </si>
  <si>
    <t>Bulgaria</t>
  </si>
  <si>
    <t>Croatia</t>
  </si>
  <si>
    <t>FABEC</t>
  </si>
  <si>
    <t>Cyprus</t>
  </si>
  <si>
    <t>NEFAB</t>
  </si>
  <si>
    <t>Czech Republic</t>
  </si>
  <si>
    <t>SW FAB</t>
  </si>
  <si>
    <t>Denmark</t>
  </si>
  <si>
    <t>UK-Ireland FAB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</si>
  <si>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</si>
  <si>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</si>
  <si>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</si>
  <si>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</si>
  <si>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</si>
  <si>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</si>
  <si>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</si>
  <si>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</si>
  <si>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</si>
  <si>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</si>
  <si>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</si>
  <si>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</si>
  <si>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 Continental</t>
  </si>
  <si>
    <t>Poland</t>
  </si>
  <si>
    <t>Portugal Continental</t>
  </si>
  <si>
    <t>Romania</t>
  </si>
  <si>
    <t>Slovakia</t>
  </si>
  <si>
    <t>Slovenia</t>
  </si>
  <si>
    <t>Spain</t>
  </si>
  <si>
    <t>Sweden</t>
  </si>
  <si>
    <t>Switzerland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</si>
</sst>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mmm yyyy"/>
    <numFmt numFmtId="167" formatCode="d mmm yyyy"/>
    <numFmt numFmtId="168" formatCode="d mmm. yyyy"/>
    <numFmt numFmtId="169" formatCode="0.0%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FFFFFF"/>
      <name val="Calibri"/>
    </font>
    <font>
      <b/>
      <sz val="9.0"/>
      <color rgb="FF396EA2"/>
      <name val="Arial"/>
    </font>
    <font>
      <b/>
      <sz val="10.0"/>
      <color rgb="FF396EA2"/>
      <name val="Calibri"/>
    </font>
    <font>
      <sz val="9.0"/>
      <name val="Calibri"/>
    </font>
    <font>
      <sz val="9.0"/>
      <color rgb="FF000000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8.0"/>
      <color rgb="FFC00000"/>
      <name val="Calibri"/>
    </font>
    <font>
      <u/>
      <sz val="9.0"/>
      <color rgb="FF396EA2"/>
      <name val="Arial"/>
    </font>
    <font>
      <sz val="9.0"/>
      <color rgb="FFF3F3F3"/>
      <name val="Calibri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3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0" fillId="4" fontId="3" numFmtId="0" xfId="0" applyAlignment="1" applyFill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2" fontId="4" numFmtId="0" xfId="0" applyAlignment="1" applyBorder="1" applyFont="1">
      <alignment readingOrder="0" shrinkToFit="0" wrapText="0"/>
    </xf>
    <xf borderId="1" fillId="2" fontId="5" numFmtId="0" xfId="0" applyAlignment="1" applyBorder="1" applyFont="1">
      <alignment horizontal="left" shrinkToFit="0" wrapText="0"/>
    </xf>
    <xf borderId="0" fillId="4" fontId="3" numFmtId="0" xfId="0" applyAlignment="1" applyFont="1">
      <alignment horizontal="center" shrinkToFit="0" wrapText="0"/>
    </xf>
    <xf borderId="0" fillId="3" fontId="6" numFmtId="164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readingOrder="0" shrinkToFit="0" vertical="bottom" wrapText="0"/>
    </xf>
    <xf borderId="0" fillId="3" fontId="6" numFmtId="164" xfId="0" applyAlignment="1" applyFont="1" applyNumberFormat="1">
      <alignment horizontal="center" readingOrder="0" vertical="bottom"/>
    </xf>
    <xf borderId="0" fillId="3" fontId="7" numFmtId="0" xfId="0" applyAlignment="1" applyFont="1">
      <alignment horizontal="center" vertical="bottom"/>
    </xf>
    <xf borderId="0" fillId="3" fontId="7" numFmtId="0" xfId="0" applyAlignment="1" applyFont="1">
      <alignment vertical="bottom"/>
    </xf>
    <xf borderId="0" fillId="3" fontId="6" numFmtId="164" xfId="0" applyAlignment="1" applyFont="1" applyNumberFormat="1">
      <alignment horizontal="center" vertical="bottom"/>
    </xf>
    <xf borderId="1" fillId="3" fontId="8" numFmtId="165" xfId="0" applyAlignment="1" applyBorder="1" applyFont="1" applyNumberFormat="1">
      <alignment horizontal="left" shrinkToFit="0" wrapText="0"/>
    </xf>
    <xf borderId="0" fillId="3" fontId="7" numFmtId="166" xfId="0" applyAlignment="1" applyFont="1" applyNumberFormat="1">
      <alignment horizontal="center" vertical="bottom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9" numFmtId="167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8" xfId="0" applyAlignment="1" applyBorder="1" applyFont="1" applyNumberFormat="1">
      <alignment horizontal="left" readingOrder="0" vertical="bottom"/>
    </xf>
    <xf borderId="3" fillId="3" fontId="10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3" fillId="3" fontId="9" numFmtId="167" xfId="0" applyAlignment="1" applyBorder="1" applyFont="1" applyNumberFormat="1">
      <alignment horizontal="left" readingOrder="0" vertical="bottom"/>
    </xf>
    <xf borderId="5" fillId="3" fontId="7" numFmtId="0" xfId="0" applyAlignment="1" applyBorder="1" applyFont="1">
      <alignment shrinkToFit="0" wrapText="1"/>
    </xf>
    <xf borderId="6" fillId="3" fontId="7" numFmtId="49" xfId="0" applyAlignment="1" applyBorder="1" applyFont="1" applyNumberFormat="1">
      <alignment shrinkToFit="0" wrapText="1"/>
    </xf>
    <xf borderId="5" fillId="3" fontId="7" numFmtId="0" xfId="0" applyAlignment="1" applyBorder="1" applyFont="1">
      <alignment readingOrder="0" shrinkToFit="0" wrapText="1"/>
    </xf>
    <xf borderId="7" fillId="3" fontId="11" numFmtId="0" xfId="0" applyAlignment="1" applyBorder="1" applyFont="1">
      <alignment horizontal="left" readingOrder="0" shrinkToFit="0" vertical="center" wrapText="0"/>
    </xf>
    <xf borderId="3" fillId="2" fontId="5" numFmtId="0" xfId="0" applyAlignment="1" applyBorder="1" applyFont="1">
      <alignment horizontal="left" shrinkToFit="0" wrapText="0"/>
    </xf>
    <xf borderId="8" fillId="3" fontId="7" numFmtId="49" xfId="0" applyAlignment="1" applyBorder="1" applyFont="1" applyNumberFormat="1">
      <alignment shrinkToFit="0" vertical="center" wrapText="0"/>
    </xf>
    <xf borderId="3" fillId="3" fontId="12" numFmtId="0" xfId="0" applyAlignment="1" applyBorder="1" applyFont="1">
      <alignment horizontal="left" readingOrder="0" shrinkToFit="0" wrapText="0"/>
    </xf>
    <xf borderId="9" fillId="3" fontId="7" numFmtId="0" xfId="0" applyAlignment="1" applyBorder="1" applyFont="1">
      <alignment horizontal="center" readingOrder="0" shrinkToFit="0" vertical="center" wrapText="0"/>
    </xf>
    <xf borderId="5" fillId="3" fontId="0" numFmtId="0" xfId="0" applyAlignment="1" applyBorder="1" applyFont="1">
      <alignment shrinkToFit="0" wrapText="1"/>
    </xf>
    <xf borderId="10" fillId="3" fontId="7" numFmtId="0" xfId="0" applyAlignment="1" applyBorder="1" applyFont="1">
      <alignment horizontal="center" readingOrder="0" shrinkToFit="0" vertical="center" wrapText="0"/>
    </xf>
    <xf borderId="6" fillId="3" fontId="0" numFmtId="0" xfId="0" applyAlignment="1" applyBorder="1" applyFont="1">
      <alignment shrinkToFit="0" wrapText="1"/>
    </xf>
    <xf borderId="8" fillId="5" fontId="13" numFmtId="0" xfId="0" applyAlignment="1" applyBorder="1" applyFill="1" applyFont="1">
      <alignment horizontal="center" shrinkToFit="0" vertical="center" wrapText="1"/>
    </xf>
    <xf borderId="1" fillId="3" fontId="0" numFmtId="0" xfId="0" applyAlignment="1" applyBorder="1" applyFont="1">
      <alignment shrinkToFit="0" wrapText="1"/>
    </xf>
    <xf borderId="8" fillId="5" fontId="13" numFmtId="49" xfId="0" applyAlignment="1" applyBorder="1" applyFont="1" applyNumberFormat="1">
      <alignment horizontal="center" shrinkToFit="0" vertical="center" wrapText="1"/>
    </xf>
    <xf borderId="5" fillId="3" fontId="14" numFmtId="0" xfId="0" applyAlignment="1" applyBorder="1" applyFont="1">
      <alignment readingOrder="0" shrinkToFit="0" wrapText="0"/>
    </xf>
    <xf borderId="8" fillId="5" fontId="13" numFmtId="0" xfId="0" applyAlignment="1" applyBorder="1" applyFont="1">
      <alignment horizontal="center" readingOrder="0" shrinkToFit="0" vertical="center" wrapText="1"/>
    </xf>
    <xf borderId="5" fillId="3" fontId="15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8" fillId="5" fontId="16" numFmtId="0" xfId="0" applyAlignment="1" applyBorder="1" applyFon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shrinkToFit="0" wrapText="1"/>
    </xf>
    <xf borderId="0" fillId="0" fontId="7" numFmtId="3" xfId="0" applyAlignment="1" applyFont="1" applyNumberFormat="1">
      <alignment readingOrder="0" shrinkToFit="0" wrapText="1"/>
    </xf>
    <xf borderId="8" fillId="6" fontId="7" numFmtId="0" xfId="0" applyAlignment="1" applyBorder="1" applyFill="1" applyFont="1">
      <alignment readingOrder="0" shrinkToFit="0" vertical="center" wrapText="0"/>
    </xf>
    <xf borderId="8" fillId="6" fontId="17" numFmtId="3" xfId="0" applyAlignment="1" applyBorder="1" applyFont="1" applyNumberFormat="1">
      <alignment horizontal="center"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0" fillId="0" fontId="7" numFmtId="169" xfId="0" applyAlignment="1" applyFont="1" applyNumberFormat="1">
      <alignment readingOrder="0" shrinkToFit="0" wrapText="1"/>
    </xf>
    <xf borderId="11" fillId="3" fontId="0" numFmtId="0" xfId="0" applyAlignment="1" applyBorder="1" applyFont="1">
      <alignment shrinkToFit="0" wrapText="1"/>
    </xf>
    <xf borderId="8" fillId="6" fontId="7" numFmtId="169" xfId="0" applyAlignment="1" applyBorder="1" applyFont="1" applyNumberFormat="1">
      <alignment horizontal="center" readingOrder="0" shrinkToFit="0" vertical="center" wrapText="0"/>
    </xf>
    <xf borderId="12" fillId="3" fontId="7" numFmtId="0" xfId="0" applyAlignment="1" applyBorder="1" applyFont="1">
      <alignment readingOrder="0" shrinkToFit="0" vertical="center" wrapText="0"/>
    </xf>
    <xf borderId="0" fillId="3" fontId="7" numFmtId="1" xfId="0" applyAlignment="1" applyFont="1" applyNumberFormat="1">
      <alignment readingOrder="0" shrinkToFit="0" vertical="center" wrapText="0"/>
    </xf>
    <xf borderId="0" fillId="0" fontId="7" numFmtId="10" xfId="0" applyAlignment="1" applyFont="1" applyNumberFormat="1">
      <alignment readingOrder="0" shrinkToFit="0" wrapText="1"/>
    </xf>
    <xf borderId="8" fillId="3" fontId="17" numFmtId="169" xfId="0" applyAlignment="1" applyBorder="1" applyFont="1" applyNumberFormat="1">
      <alignment horizontal="right" readingOrder="0" shrinkToFit="0" vertical="center" wrapText="0"/>
    </xf>
    <xf borderId="8" fillId="3" fontId="7" numFmtId="0" xfId="0" applyAlignment="1" applyBorder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7" numFmtId="10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5.25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3" t="s">
        <v>1</v>
      </c>
      <c r="C1" s="1" t="s">
        <v>4</v>
      </c>
      <c r="D1" s="6">
        <v>45658.0</v>
      </c>
      <c r="E1" s="1" t="s">
        <v>7</v>
      </c>
      <c r="F1" s="19" t="str">
        <f>HYPERLINK("https://www.eurocontrol.int/prudata/dashboard/metadata/vertical-ert-flight-efficiency/","Avg. vertical en-route flight efficiency")</f>
        <v>Avg. vertical en-route flight efficiency</v>
      </c>
      <c r="G1" s="21"/>
    </row>
    <row r="2" ht="12.0" customHeight="1">
      <c r="A2" s="23" t="s">
        <v>10</v>
      </c>
      <c r="B2" s="24">
        <v>46252.0</v>
      </c>
      <c r="C2" s="25" t="s">
        <v>11</v>
      </c>
      <c r="D2" s="26">
        <v>46234.0</v>
      </c>
      <c r="E2" s="23" t="s">
        <v>12</v>
      </c>
      <c r="F2" s="27" t="s">
        <v>13</v>
      </c>
      <c r="G2" s="28"/>
    </row>
    <row r="3" ht="12.0" customHeight="1">
      <c r="A3" s="30"/>
      <c r="B3" s="31"/>
      <c r="C3" s="32" t="s">
        <v>6</v>
      </c>
      <c r="D3" s="32" t="s">
        <v>6</v>
      </c>
      <c r="E3" s="32" t="s">
        <v>14</v>
      </c>
      <c r="F3" s="32" t="s">
        <v>6</v>
      </c>
      <c r="G3" s="32" t="s">
        <v>14</v>
      </c>
    </row>
    <row r="4" ht="13.5" customHeight="1">
      <c r="A4" s="33" t="s">
        <v>15</v>
      </c>
      <c r="B4" s="35"/>
      <c r="C4" s="37"/>
      <c r="D4" s="39"/>
      <c r="E4" s="39"/>
      <c r="F4" s="32" t="s">
        <v>6</v>
      </c>
      <c r="G4" s="32" t="s">
        <v>6</v>
      </c>
    </row>
    <row r="5" ht="38.25" customHeight="1">
      <c r="A5" s="41" t="s">
        <v>5</v>
      </c>
      <c r="B5" s="43" t="s">
        <v>16</v>
      </c>
      <c r="C5" s="45" t="s">
        <v>17</v>
      </c>
      <c r="D5" s="45" t="s">
        <v>18</v>
      </c>
      <c r="E5" s="45" t="s">
        <v>19</v>
      </c>
      <c r="F5" s="32" t="s">
        <v>6</v>
      </c>
      <c r="G5" s="32" t="s">
        <v>14</v>
      </c>
    </row>
    <row r="6" ht="12.75" customHeight="1">
      <c r="A6" s="47" t="s">
        <v>20</v>
      </c>
      <c r="B6" s="49" t="s">
        <v>22</v>
      </c>
      <c r="C6" s="50">
        <v>4.330290454E9</v>
      </c>
      <c r="D6" s="50">
        <v>3.306262217E9</v>
      </c>
      <c r="E6" s="54">
        <f t="shared" ref="E6:E7" si="1">D6/C6</f>
        <v>0.7635197343</v>
      </c>
      <c r="F6" s="32" t="s">
        <v>6</v>
      </c>
      <c r="G6" s="32" t="s">
        <v>14</v>
      </c>
    </row>
    <row r="7" ht="12.75" customHeight="1">
      <c r="A7" s="47" t="s">
        <v>20</v>
      </c>
      <c r="B7" s="49" t="s">
        <v>23</v>
      </c>
      <c r="C7" s="50">
        <v>4.45244413E9</v>
      </c>
      <c r="D7" s="50">
        <v>3.418442891E9</v>
      </c>
      <c r="E7" s="54">
        <f t="shared" si="1"/>
        <v>0.7677677229</v>
      </c>
      <c r="F7" s="32" t="s">
        <v>6</v>
      </c>
      <c r="G7" s="32" t="s">
        <v>14</v>
      </c>
    </row>
    <row r="8" ht="12.75" customHeight="1">
      <c r="A8" s="47" t="s">
        <v>20</v>
      </c>
      <c r="B8" s="49" t="s">
        <v>28</v>
      </c>
      <c r="C8" s="50"/>
      <c r="D8" s="50"/>
      <c r="E8" s="59"/>
      <c r="F8" s="32" t="s">
        <v>6</v>
      </c>
      <c r="G8" s="32" t="s">
        <v>14</v>
      </c>
    </row>
    <row r="9" ht="12.75" customHeight="1">
      <c r="A9" s="47" t="s">
        <v>20</v>
      </c>
      <c r="B9" s="49" t="s">
        <v>30</v>
      </c>
      <c r="C9" s="50"/>
      <c r="D9" s="50"/>
      <c r="E9" s="59"/>
      <c r="F9" s="32" t="s">
        <v>6</v>
      </c>
      <c r="G9" s="32" t="s">
        <v>14</v>
      </c>
    </row>
    <row r="10" ht="12.75" customHeight="1">
      <c r="A10" s="47" t="s">
        <v>20</v>
      </c>
      <c r="B10" s="49" t="s">
        <v>32</v>
      </c>
      <c r="C10" s="50"/>
      <c r="D10" s="50"/>
      <c r="E10" s="59"/>
      <c r="F10" s="32" t="s">
        <v>6</v>
      </c>
      <c r="G10" s="3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5.5"/>
    <col customWidth="1" min="4" max="4" width="10.25"/>
    <col customWidth="1" min="5" max="5" width="10.75"/>
    <col customWidth="1" min="6" max="6" width="9.75"/>
  </cols>
  <sheetData>
    <row r="1" ht="12.75" customHeight="1">
      <c r="A1" s="2" t="s">
        <v>0</v>
      </c>
      <c r="B1" s="5" t="s">
        <v>3</v>
      </c>
      <c r="C1" s="7" t="s">
        <v>6</v>
      </c>
      <c r="D1" s="6">
        <v>46023.0</v>
      </c>
      <c r="E1" s="8" t="s">
        <v>7</v>
      </c>
      <c r="F1" s="19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22" t="s">
        <v>10</v>
      </c>
      <c r="B2" s="29">
        <f>ERT_VFE_SES!B2</f>
        <v>46252</v>
      </c>
      <c r="C2" s="25" t="s">
        <v>11</v>
      </c>
      <c r="D2" s="26">
        <f>ERT_VFE_SES!D2</f>
        <v>46234</v>
      </c>
      <c r="E2" s="34" t="s">
        <v>12</v>
      </c>
      <c r="F2" s="36" t="s">
        <v>13</v>
      </c>
    </row>
    <row r="3" ht="12.75" customHeight="1">
      <c r="A3" s="38"/>
      <c r="B3" s="40"/>
      <c r="C3" s="38"/>
      <c r="D3" s="38"/>
      <c r="E3" s="38"/>
      <c r="F3" s="42"/>
    </row>
    <row r="4" ht="13.5" customHeight="1">
      <c r="A4" s="44" t="s">
        <v>6</v>
      </c>
      <c r="B4" s="46" t="s">
        <v>6</v>
      </c>
      <c r="C4" s="38"/>
      <c r="D4" s="38"/>
      <c r="E4" s="38"/>
      <c r="F4" s="42"/>
    </row>
    <row r="5" ht="25.5" customHeight="1">
      <c r="A5" s="48" t="s">
        <v>21</v>
      </c>
      <c r="B5" s="45" t="s">
        <v>17</v>
      </c>
      <c r="C5" s="45" t="s">
        <v>18</v>
      </c>
      <c r="D5" s="45" t="s">
        <v>19</v>
      </c>
      <c r="E5" s="38"/>
      <c r="F5" s="42"/>
    </row>
    <row r="6" ht="12.75" customHeight="1">
      <c r="A6" s="51" t="s">
        <v>20</v>
      </c>
      <c r="B6" s="52">
        <v>4.45244413E9</v>
      </c>
      <c r="C6" s="52">
        <v>3.418442891E9</v>
      </c>
      <c r="D6" s="56">
        <f t="shared" ref="D6:D15" si="1">C6/B6</f>
        <v>0.7677677229</v>
      </c>
      <c r="E6" s="38"/>
      <c r="F6" s="42"/>
    </row>
    <row r="7" ht="12.75" customHeight="1">
      <c r="A7" s="51" t="s">
        <v>25</v>
      </c>
      <c r="B7" s="52">
        <v>1.41065221E8</v>
      </c>
      <c r="C7" s="52">
        <v>1.07676417E8</v>
      </c>
      <c r="D7" s="56">
        <f t="shared" si="1"/>
        <v>0.7633094553</v>
      </c>
      <c r="E7" s="38"/>
      <c r="F7" s="42"/>
    </row>
    <row r="8" ht="12.75" customHeight="1">
      <c r="A8" s="51" t="s">
        <v>27</v>
      </c>
      <c r="B8" s="52">
        <v>8.30929371E8</v>
      </c>
      <c r="C8" s="52">
        <v>6.07544899E8</v>
      </c>
      <c r="D8" s="56">
        <f t="shared" si="1"/>
        <v>0.7311631051</v>
      </c>
      <c r="E8" s="38"/>
      <c r="F8" s="42"/>
    </row>
    <row r="9" ht="12.75" customHeight="1">
      <c r="A9" s="51" t="s">
        <v>29</v>
      </c>
      <c r="B9" s="52">
        <v>3.32642079E8</v>
      </c>
      <c r="C9" s="52">
        <v>2.59961667E8</v>
      </c>
      <c r="D9" s="56">
        <f t="shared" si="1"/>
        <v>0.7815056585</v>
      </c>
      <c r="E9" s="38"/>
      <c r="F9" s="42"/>
    </row>
    <row r="10" ht="12.75" customHeight="1">
      <c r="A10" s="51" t="s">
        <v>31</v>
      </c>
      <c r="B10" s="52">
        <v>1.38256806E8</v>
      </c>
      <c r="C10" s="52">
        <v>1.08313649E8</v>
      </c>
      <c r="D10" s="56">
        <f t="shared" si="1"/>
        <v>0.7834236312</v>
      </c>
      <c r="E10" s="38"/>
      <c r="F10" s="42"/>
    </row>
    <row r="11" ht="12.75" customHeight="1">
      <c r="A11" s="51" t="s">
        <v>33</v>
      </c>
      <c r="B11" s="52">
        <v>5.2680114E8</v>
      </c>
      <c r="C11" s="52">
        <v>4.08205376E8</v>
      </c>
      <c r="D11" s="56">
        <f t="shared" si="1"/>
        <v>0.7748756504</v>
      </c>
      <c r="E11" s="38"/>
      <c r="F11" s="42"/>
    </row>
    <row r="12" ht="12.75" customHeight="1">
      <c r="A12" s="51" t="s">
        <v>37</v>
      </c>
      <c r="B12" s="52">
        <v>1.56267925E9</v>
      </c>
      <c r="C12" s="52">
        <v>1.228951192E9</v>
      </c>
      <c r="D12" s="56">
        <f t="shared" si="1"/>
        <v>0.7864385427</v>
      </c>
      <c r="E12" s="38"/>
      <c r="F12" s="42"/>
    </row>
    <row r="13" ht="12.75" customHeight="1">
      <c r="A13" s="51" t="s">
        <v>39</v>
      </c>
      <c r="B13" s="52">
        <v>1.23808053E8</v>
      </c>
      <c r="C13" s="52">
        <v>9.6291888E7</v>
      </c>
      <c r="D13" s="56">
        <f t="shared" si="1"/>
        <v>0.7777514117</v>
      </c>
      <c r="E13" s="38"/>
      <c r="F13" s="42"/>
    </row>
    <row r="14" ht="12.75" customHeight="1">
      <c r="A14" s="51" t="s">
        <v>41</v>
      </c>
      <c r="B14" s="52">
        <v>7.21215683E8</v>
      </c>
      <c r="C14" s="52">
        <v>5.41182391E8</v>
      </c>
      <c r="D14" s="56">
        <f t="shared" si="1"/>
        <v>0.7503752397</v>
      </c>
      <c r="E14" s="38"/>
      <c r="F14" s="42"/>
    </row>
    <row r="15" ht="12.75" customHeight="1">
      <c r="A15" s="51" t="s">
        <v>43</v>
      </c>
      <c r="B15" s="52">
        <v>3.66675937E8</v>
      </c>
      <c r="C15" s="52">
        <v>2.91586649E8</v>
      </c>
      <c r="D15" s="56">
        <f t="shared" si="1"/>
        <v>0.7952162102</v>
      </c>
      <c r="E15" s="38"/>
      <c r="F15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7.88"/>
    <col customWidth="1" min="4" max="4" width="10.25"/>
    <col customWidth="1" min="5" max="5" width="10.75"/>
    <col customWidth="1" min="6" max="6" width="9.63"/>
  </cols>
  <sheetData>
    <row r="1" ht="12.75" customHeight="1">
      <c r="A1" s="2" t="s">
        <v>0</v>
      </c>
      <c r="B1" s="5" t="s">
        <v>3</v>
      </c>
      <c r="C1" s="7" t="s">
        <v>6</v>
      </c>
      <c r="D1" s="6">
        <v>46023.0</v>
      </c>
      <c r="E1" s="8" t="s">
        <v>7</v>
      </c>
      <c r="F1" s="19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22" t="s">
        <v>10</v>
      </c>
      <c r="B2" s="29">
        <f>ERT_VFE_SES!B2</f>
        <v>46252</v>
      </c>
      <c r="C2" s="25" t="s">
        <v>11</v>
      </c>
      <c r="D2" s="26">
        <f>ERT_VFE_SES!D2</f>
        <v>46234</v>
      </c>
      <c r="E2" s="34" t="s">
        <v>12</v>
      </c>
      <c r="F2" s="36" t="s">
        <v>13</v>
      </c>
    </row>
    <row r="3" ht="12.75" customHeight="1">
      <c r="A3" s="38"/>
      <c r="B3" s="40"/>
      <c r="C3" s="38"/>
      <c r="D3" s="38"/>
      <c r="E3" s="53" t="s">
        <v>14</v>
      </c>
      <c r="F3" s="53" t="s">
        <v>6</v>
      </c>
    </row>
    <row r="4" ht="13.5" customHeight="1">
      <c r="A4" s="46" t="s">
        <v>6</v>
      </c>
      <c r="B4" s="46" t="s">
        <v>6</v>
      </c>
      <c r="C4" s="38"/>
      <c r="D4" s="38"/>
      <c r="E4" s="38"/>
      <c r="F4" s="55"/>
    </row>
    <row r="5" ht="25.5" customHeight="1">
      <c r="A5" s="48" t="s">
        <v>24</v>
      </c>
      <c r="B5" s="45" t="s">
        <v>17</v>
      </c>
      <c r="C5" s="45" t="s">
        <v>18</v>
      </c>
      <c r="D5" s="45" t="s">
        <v>19</v>
      </c>
      <c r="E5" s="55"/>
      <c r="F5" s="55"/>
    </row>
    <row r="6" ht="12.75" customHeight="1">
      <c r="A6" s="57" t="s">
        <v>26</v>
      </c>
      <c r="B6" s="58">
        <v>1.36365326E8</v>
      </c>
      <c r="C6" s="58">
        <v>1.05777265E8</v>
      </c>
      <c r="D6" s="60">
        <f t="shared" ref="D6:D33" si="1">C6/B6</f>
        <v>0.775690332</v>
      </c>
      <c r="E6" s="55"/>
      <c r="F6" s="55"/>
    </row>
    <row r="7" ht="12.75" customHeight="1">
      <c r="A7" s="61" t="s">
        <v>34</v>
      </c>
      <c r="B7" s="58">
        <v>6.559652E7</v>
      </c>
      <c r="C7" s="58">
        <v>5.0260014E7</v>
      </c>
      <c r="D7" s="60">
        <f t="shared" si="1"/>
        <v>0.7661993959</v>
      </c>
      <c r="E7" s="55"/>
      <c r="F7" s="55"/>
    </row>
    <row r="8" ht="12.75" customHeight="1">
      <c r="A8" s="61" t="s">
        <v>35</v>
      </c>
      <c r="B8" s="58">
        <v>1.40763508E8</v>
      </c>
      <c r="C8" s="58">
        <v>1.08825174E8</v>
      </c>
      <c r="D8" s="60">
        <f t="shared" si="1"/>
        <v>0.7731064361</v>
      </c>
      <c r="E8" s="55"/>
      <c r="F8" s="55"/>
    </row>
    <row r="9" ht="12.75" customHeight="1">
      <c r="A9" s="61" t="s">
        <v>36</v>
      </c>
      <c r="B9" s="58">
        <v>1.23061533E8</v>
      </c>
      <c r="C9" s="58">
        <v>9.2954603E7</v>
      </c>
      <c r="D9" s="60">
        <f t="shared" si="1"/>
        <v>0.7553506017</v>
      </c>
      <c r="E9" s="55"/>
      <c r="F9" s="55"/>
    </row>
    <row r="10" ht="12.75" customHeight="1">
      <c r="A10" s="61" t="s">
        <v>38</v>
      </c>
      <c r="B10" s="58">
        <v>6.7315021E7</v>
      </c>
      <c r="C10" s="58">
        <v>4.5981543E7</v>
      </c>
      <c r="D10" s="60">
        <f t="shared" si="1"/>
        <v>0.6830799771</v>
      </c>
      <c r="E10" s="55"/>
      <c r="F10" s="55"/>
    </row>
    <row r="11" ht="12.75" customHeight="1">
      <c r="A11" s="61" t="s">
        <v>40</v>
      </c>
      <c r="B11" s="58">
        <v>7.6764779E7</v>
      </c>
      <c r="C11" s="58">
        <v>6.0662706E7</v>
      </c>
      <c r="D11" s="60">
        <f t="shared" si="1"/>
        <v>0.7902413944</v>
      </c>
      <c r="E11" s="55"/>
      <c r="F11" s="55"/>
    </row>
    <row r="12" ht="12.75" customHeight="1">
      <c r="A12" s="61" t="s">
        <v>42</v>
      </c>
      <c r="B12" s="58">
        <v>4.7966149E7</v>
      </c>
      <c r="C12" s="58">
        <v>3.7706294E7</v>
      </c>
      <c r="D12" s="60">
        <f t="shared" si="1"/>
        <v>0.7861021738</v>
      </c>
      <c r="E12" s="55"/>
      <c r="F12" s="55"/>
    </row>
    <row r="13" ht="12.75" customHeight="1">
      <c r="A13" s="61" t="s">
        <v>44</v>
      </c>
      <c r="B13" s="58">
        <v>1.7028734E7</v>
      </c>
      <c r="C13" s="58">
        <v>1.3511037E7</v>
      </c>
      <c r="D13" s="60">
        <f t="shared" si="1"/>
        <v>0.7934258061</v>
      </c>
      <c r="E13" s="55"/>
      <c r="F13" s="55"/>
    </row>
    <row r="14" ht="12.75" customHeight="1">
      <c r="A14" s="61" t="s">
        <v>45</v>
      </c>
      <c r="B14" s="58">
        <v>1.6999689E7</v>
      </c>
      <c r="C14" s="58">
        <v>1.1908724E7</v>
      </c>
      <c r="D14" s="60">
        <f t="shared" si="1"/>
        <v>0.700525992</v>
      </c>
      <c r="E14" s="55"/>
      <c r="F14" s="55"/>
    </row>
    <row r="15" ht="12.75" customHeight="1">
      <c r="A15" s="61" t="s">
        <v>46</v>
      </c>
      <c r="B15" s="58">
        <v>9.10485414E8</v>
      </c>
      <c r="C15" s="58">
        <v>7.21792073E8</v>
      </c>
      <c r="D15" s="60">
        <f t="shared" si="1"/>
        <v>0.7927552291</v>
      </c>
      <c r="E15" s="55"/>
      <c r="F15" s="55"/>
    </row>
    <row r="16" ht="12.75" customHeight="1">
      <c r="A16" s="61" t="s">
        <v>47</v>
      </c>
      <c r="B16" s="58">
        <v>4.51911632E8</v>
      </c>
      <c r="C16" s="58">
        <v>3.51978756E8</v>
      </c>
      <c r="D16" s="60">
        <f t="shared" si="1"/>
        <v>0.7788663338</v>
      </c>
      <c r="E16" s="55"/>
      <c r="F16" s="55"/>
    </row>
    <row r="17" ht="12.75" customHeight="1">
      <c r="A17" s="61" t="s">
        <v>48</v>
      </c>
      <c r="B17" s="58">
        <v>3.02237857E8</v>
      </c>
      <c r="C17" s="58">
        <v>2.21888948E8</v>
      </c>
      <c r="D17" s="60">
        <f t="shared" si="1"/>
        <v>0.7341533923</v>
      </c>
      <c r="E17" s="55"/>
      <c r="F17" s="55"/>
    </row>
    <row r="18" ht="12.75" customHeight="1">
      <c r="A18" s="61" t="s">
        <v>49</v>
      </c>
      <c r="B18" s="58">
        <v>1.20726951E8</v>
      </c>
      <c r="C18" s="58">
        <v>9.4407847E7</v>
      </c>
      <c r="D18" s="60">
        <f t="shared" si="1"/>
        <v>0.7819947925</v>
      </c>
      <c r="E18" s="55"/>
      <c r="F18" s="55"/>
    </row>
    <row r="19" ht="12.75" customHeight="1">
      <c r="A19" s="61" t="s">
        <v>50</v>
      </c>
      <c r="B19" s="58">
        <v>7.5048553E7</v>
      </c>
      <c r="C19" s="58">
        <v>6.0314946E7</v>
      </c>
      <c r="D19" s="60">
        <f t="shared" si="1"/>
        <v>0.8036789996</v>
      </c>
      <c r="E19" s="55"/>
      <c r="F19" s="55"/>
    </row>
    <row r="20" ht="12.75" customHeight="1">
      <c r="A20" s="61" t="s">
        <v>51</v>
      </c>
      <c r="B20" s="58">
        <v>4.28542961E8</v>
      </c>
      <c r="C20" s="58">
        <v>3.14552482E8</v>
      </c>
      <c r="D20" s="60">
        <f t="shared" si="1"/>
        <v>0.7340045471</v>
      </c>
      <c r="E20" s="55"/>
      <c r="F20" s="55"/>
    </row>
    <row r="21" ht="12.75" customHeight="1">
      <c r="A21" s="61" t="s">
        <v>52</v>
      </c>
      <c r="B21" s="58">
        <v>1.9105766E7</v>
      </c>
      <c r="C21" s="58">
        <v>1.5040058E7</v>
      </c>
      <c r="D21" s="60">
        <f t="shared" si="1"/>
        <v>0.7871999479</v>
      </c>
      <c r="E21" s="55"/>
      <c r="F21" s="55"/>
    </row>
    <row r="22" ht="12.75" customHeight="1">
      <c r="A22" s="61" t="s">
        <v>53</v>
      </c>
      <c r="B22" s="58">
        <v>1.4880807E7</v>
      </c>
      <c r="C22" s="58">
        <v>1.0974523E7</v>
      </c>
      <c r="D22" s="60">
        <f t="shared" si="1"/>
        <v>0.7374951506</v>
      </c>
      <c r="E22" s="55"/>
      <c r="F22" s="55"/>
    </row>
    <row r="23" ht="12.75" customHeight="1">
      <c r="A23" s="61" t="s">
        <v>54</v>
      </c>
      <c r="B23" s="58">
        <v>3.2834088E7</v>
      </c>
      <c r="C23" s="58">
        <v>2.5123434E7</v>
      </c>
      <c r="D23" s="60">
        <f t="shared" si="1"/>
        <v>0.7651631439</v>
      </c>
      <c r="E23" s="55"/>
      <c r="F23" s="55"/>
    </row>
    <row r="24" ht="12.75" customHeight="1">
      <c r="A24" s="61" t="s">
        <v>55</v>
      </c>
      <c r="B24" s="58">
        <v>7.4349806E7</v>
      </c>
      <c r="C24" s="58">
        <v>5.8913538E7</v>
      </c>
      <c r="D24" s="60">
        <f t="shared" si="1"/>
        <v>0.7923832108</v>
      </c>
      <c r="E24" s="55"/>
      <c r="F24" s="55"/>
    </row>
    <row r="25" ht="12.75" customHeight="1">
      <c r="A25" s="61" t="s">
        <v>56</v>
      </c>
      <c r="B25" s="58">
        <v>7.0673756E7</v>
      </c>
      <c r="C25" s="58">
        <v>5.5831971E7</v>
      </c>
      <c r="D25" s="60">
        <f t="shared" si="1"/>
        <v>0.7899958083</v>
      </c>
      <c r="E25" s="55"/>
      <c r="F25" s="55"/>
    </row>
    <row r="26" ht="12.75" customHeight="1">
      <c r="A26" s="61" t="s">
        <v>57</v>
      </c>
      <c r="B26" s="58">
        <v>1.26184443E8</v>
      </c>
      <c r="C26" s="58">
        <v>9.6701931E7</v>
      </c>
      <c r="D26" s="60">
        <f t="shared" si="1"/>
        <v>0.7663538286</v>
      </c>
      <c r="E26" s="55"/>
      <c r="F26" s="55"/>
    </row>
    <row r="27" ht="12.75" customHeight="1">
      <c r="A27" s="61" t="s">
        <v>58</v>
      </c>
      <c r="B27" s="58">
        <v>1.58837508E8</v>
      </c>
      <c r="C27" s="58">
        <v>1.2196637E8</v>
      </c>
      <c r="D27" s="60">
        <f t="shared" si="1"/>
        <v>0.767868821</v>
      </c>
      <c r="E27" s="55"/>
      <c r="F27" s="55"/>
    </row>
    <row r="28" ht="12.75" customHeight="1">
      <c r="A28" s="61" t="s">
        <v>59</v>
      </c>
      <c r="B28" s="58">
        <v>1.91880223E8</v>
      </c>
      <c r="C28" s="58">
        <v>1.51136507E8</v>
      </c>
      <c r="D28" s="60">
        <f t="shared" si="1"/>
        <v>0.7876606804</v>
      </c>
      <c r="E28" s="55"/>
      <c r="F28" s="55"/>
    </row>
    <row r="29" ht="12.75" customHeight="1">
      <c r="A29" s="61" t="s">
        <v>60</v>
      </c>
      <c r="B29" s="58">
        <v>3.8779374E7</v>
      </c>
      <c r="C29" s="58">
        <v>3.0204677E7</v>
      </c>
      <c r="D29" s="60">
        <f t="shared" si="1"/>
        <v>0.7788851104</v>
      </c>
      <c r="E29" s="55"/>
      <c r="F29" s="55"/>
    </row>
    <row r="30" ht="12.75" customHeight="1">
      <c r="A30" s="61" t="s">
        <v>61</v>
      </c>
      <c r="B30" s="58">
        <v>3.1104395E7</v>
      </c>
      <c r="C30" s="58">
        <v>2.4199255E7</v>
      </c>
      <c r="D30" s="60">
        <f t="shared" si="1"/>
        <v>0.7780011474</v>
      </c>
      <c r="E30" s="55"/>
      <c r="F30" s="55"/>
    </row>
    <row r="31" ht="12.75" customHeight="1">
      <c r="A31" s="61" t="s">
        <v>62</v>
      </c>
      <c r="B31" s="58">
        <v>5.62378192E8</v>
      </c>
      <c r="C31" s="58">
        <v>4.19216623E8</v>
      </c>
      <c r="D31" s="60">
        <f t="shared" si="1"/>
        <v>0.7454354187</v>
      </c>
      <c r="E31" s="55"/>
      <c r="F31" s="55"/>
    </row>
    <row r="32" ht="12.75" customHeight="1">
      <c r="A32" s="61" t="s">
        <v>63</v>
      </c>
      <c r="B32" s="58">
        <v>9.0290513E7</v>
      </c>
      <c r="C32" s="58">
        <v>7.0607348E7</v>
      </c>
      <c r="D32" s="60">
        <f t="shared" si="1"/>
        <v>0.7820018477</v>
      </c>
      <c r="E32" s="55"/>
      <c r="F32" s="55"/>
    </row>
    <row r="33" ht="12.75" customHeight="1">
      <c r="A33" s="61" t="s">
        <v>64</v>
      </c>
      <c r="B33" s="58">
        <v>6.0336131E7</v>
      </c>
      <c r="C33" s="58">
        <v>4.6007221E7</v>
      </c>
      <c r="D33" s="60">
        <f t="shared" si="1"/>
        <v>0.7625152664</v>
      </c>
      <c r="E33" s="55"/>
      <c r="F33" s="55"/>
    </row>
    <row r="34" ht="12.75" customHeight="1">
      <c r="A34" s="62"/>
      <c r="B34" s="62"/>
      <c r="C34" s="62"/>
      <c r="D34" s="63"/>
      <c r="E34" s="55"/>
      <c r="F34" s="5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4" t="s">
        <v>2</v>
      </c>
      <c r="B1" s="9" t="s">
        <v>5</v>
      </c>
      <c r="C1" s="9" t="s">
        <v>8</v>
      </c>
      <c r="D1" s="4" t="s">
        <v>9</v>
      </c>
    </row>
    <row r="2" ht="15.75" customHeight="1">
      <c r="A2" s="10"/>
      <c r="B2" s="11"/>
      <c r="C2" s="12"/>
      <c r="D2" s="11"/>
    </row>
    <row r="3" ht="15.75" customHeight="1">
      <c r="A3" s="10"/>
      <c r="B3" s="13"/>
      <c r="C3" s="14"/>
      <c r="D3" s="11"/>
    </row>
    <row r="4" ht="15.75" customHeight="1">
      <c r="A4" s="15"/>
      <c r="B4" s="13"/>
      <c r="C4" s="16"/>
      <c r="D4" s="17"/>
    </row>
    <row r="5" ht="15.75" customHeight="1">
      <c r="A5" s="18"/>
      <c r="B5" s="13"/>
      <c r="C5" s="16"/>
      <c r="D5" s="17"/>
    </row>
    <row r="6" ht="15.75" customHeight="1">
      <c r="A6" s="15"/>
      <c r="B6" s="13"/>
      <c r="C6" s="16"/>
      <c r="D6" s="17"/>
    </row>
    <row r="7" ht="15.75" customHeight="1">
      <c r="A7" s="18"/>
      <c r="B7" s="13"/>
      <c r="C7" s="20"/>
      <c r="D7" s="17"/>
    </row>
  </sheetData>
  <drawing r:id="rId1"/>
</worksheet>
</file>