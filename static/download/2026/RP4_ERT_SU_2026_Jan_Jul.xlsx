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SU_CZ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<sst xmlns="http://schemas.openxmlformats.org/spreadsheetml/2006/main" count="62" uniqueCount="57">
  <si>
    <t>Data source</t>
  </si>
  <si>
    <t>EUROCONTROL</t>
  </si>
  <si>
    <t>Change date</t>
  </si>
  <si>
    <t>Period Start</t>
  </si>
  <si>
    <t>Entity</t>
  </si>
  <si>
    <t>Meta data</t>
  </si>
  <si>
    <t>Period</t>
  </si>
  <si>
    <t>Comment</t>
  </si>
  <si>
    <t>N/A</t>
  </si>
  <si>
    <t xml:space="preserve"> </t>
  </si>
  <si>
    <t>Release date</t>
  </si>
  <si>
    <t xml:space="preserve">      </t>
  </si>
  <si>
    <t>Period End</t>
  </si>
  <si>
    <t>Contact</t>
  </si>
  <si>
    <t>pru-support@eurocontrol.int</t>
  </si>
  <si>
    <t xml:space="preserve">  </t>
  </si>
  <si>
    <t>Period: JAN-JUL</t>
  </si>
  <si>
    <t>SOURCE: CRCO</t>
  </si>
  <si>
    <t>En-route service units</t>
  </si>
  <si>
    <t>Actual [2025]</t>
  </si>
  <si>
    <t>Daily ER SU [2025]</t>
  </si>
  <si>
    <t>Actual [2026]</t>
  </si>
  <si>
    <t>Daily ER SU [actual, 2026]</t>
  </si>
  <si>
    <t>26/25 (%)</t>
  </si>
  <si>
    <t>Det. [2026]</t>
  </si>
  <si>
    <t>Daily ER SU [2026]</t>
  </si>
  <si>
    <t>act./det.(%)</t>
  </si>
  <si>
    <t>SES Area</t>
  </si>
  <si>
    <t>Austria</t>
  </si>
  <si>
    <t>Belgium-Luxembourg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</si>
  <si>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</si>
  <si>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</si>
  <si>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</si>
  <si>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</si>
  <si>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</si>
  <si>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</si>
  <si>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</si>
  <si>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</si>
  <si>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</si>
  <si>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</si>
  <si>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</si>
  <si>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</si>
  <si>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</si>
  <si>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</si>
  <si>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</si>
  <si>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</si>
  <si>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</si>
  <si>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</si>
  <si>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</si>
  <si>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Continental</t>
  </si>
  <si>
    <t>Romania</t>
  </si>
  <si>
    <t>Slovakia</t>
  </si>
  <si>
    <t>Slovenia</t>
  </si>
  <si>
    <t>Spain Canarias</t>
  </si>
  <si>
    <t>Spain Continental</t>
  </si>
  <si>
    <t>Sweden</t>
  </si>
  <si>
    <t>Switzerland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</si>
</sst>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d mmm yyyy"/>
    <numFmt numFmtId="166" formatCode="d mmm. yyyy"/>
    <numFmt numFmtId="167" formatCode="m/d/yyyy"/>
    <numFmt numFmtId="168" formatCode="0.0%"/>
  </numFmts>
  <fonts count="15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F3F3F3"/>
      <name val="Calibri"/>
    </font>
    <font>
      <b/>
      <sz val="10.0"/>
      <color rgb="FF396EA2"/>
      <name val="Calibri"/>
    </font>
    <font>
      <sz val="10.0"/>
      <color rgb="FF396EA2"/>
      <name val="Calibri"/>
    </font>
    <font>
      <sz val="9.0"/>
      <name val="Calibri"/>
    </font>
    <font>
      <sz val="9.0"/>
      <color rgb="FF000000"/>
      <name val="Calibri"/>
    </font>
    <font>
      <sz val="9.0"/>
      <color rgb="FFC00000"/>
      <name val="Calibri"/>
    </font>
    <font>
      <u/>
      <sz val="9.0"/>
      <color rgb="FF396EA2"/>
      <name val="Calibri"/>
    </font>
    <font>
      <u/>
      <sz val="10.0"/>
      <color rgb="FF396EA2"/>
      <name val="Calibri"/>
    </font>
    <font>
      <u/>
      <sz val="10.0"/>
      <color rgb="FF396EA2"/>
      <name val="Calibri"/>
    </font>
    <font>
      <sz val="10.0"/>
      <color rgb="FF000000"/>
      <name val="Calibri"/>
    </font>
    <font>
      <b/>
      <sz val="8.0"/>
      <color rgb="FFC00000"/>
      <name val="Calibri"/>
    </font>
    <font>
      <sz val="10.0"/>
      <color rgb="FFF3F3F3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</fills>
  <borders count="10">
    <border/>
    <border>
      <left/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/>
      <top/>
      <bottom/>
    </border>
    <border>
      <left/>
      <right/>
    </border>
    <border>
      <left/>
      <right/>
      <top/>
      <bottom style="thin">
        <color rgb="FF000000"/>
      </bottom>
    </border>
    <border>
      <right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4" fontId="3" numFmtId="0" xfId="0" applyAlignment="1" applyBorder="1" applyFill="1" applyFont="1">
      <alignment shrinkToFit="0" wrapText="0"/>
    </xf>
    <xf borderId="0" fillId="3" fontId="2" numFmtId="164" xfId="0" applyAlignment="1" applyFont="1" applyNumberFormat="1">
      <alignment horizontal="left" readingOrder="0" shrinkToFit="0" wrapText="0"/>
    </xf>
    <xf borderId="3" fillId="4" fontId="3" numFmtId="0" xfId="0" applyAlignment="1" applyBorder="1" applyFont="1">
      <alignment horizontal="center" shrinkToFit="0" wrapText="0"/>
    </xf>
    <xf borderId="4" fillId="2" fontId="4" numFmtId="0" xfId="0" applyAlignment="1" applyBorder="1" applyFont="1">
      <alignment horizontal="left" shrinkToFit="0" wrapText="0"/>
    </xf>
    <xf borderId="1" fillId="3" fontId="5" numFmtId="0" xfId="0" applyAlignment="1" applyBorder="1" applyFont="1">
      <alignment horizontal="left" readingOrder="0" shrinkToFit="0" wrapText="0"/>
    </xf>
    <xf borderId="5" fillId="3" fontId="6" numFmtId="164" xfId="0" applyAlignment="1" applyBorder="1" applyFont="1" applyNumberFormat="1">
      <alignment horizontal="left" readingOrder="0" shrinkToFit="0" vertical="bottom" wrapText="0"/>
    </xf>
    <xf borderId="0" fillId="3" fontId="5" numFmtId="0" xfId="0" applyAlignment="1" applyFont="1">
      <alignment horizontal="left" readingOrder="0" shrinkToFit="0" wrapText="0"/>
    </xf>
    <xf borderId="0" fillId="3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0"/>
    </xf>
    <xf borderId="6" fillId="2" fontId="1" numFmtId="0" xfId="0" applyAlignment="1" applyBorder="1" applyFont="1">
      <alignment shrinkToFit="0" wrapText="0"/>
    </xf>
    <xf borderId="0" fillId="3" fontId="7" numFmtId="0" xfId="0" applyAlignment="1" applyFont="1">
      <alignment readingOrder="0" shrinkToFit="0" wrapText="1"/>
    </xf>
    <xf borderId="6" fillId="0" fontId="8" numFmtId="165" xfId="0" applyAlignment="1" applyBorder="1" applyFont="1" applyNumberFormat="1">
      <alignment horizontal="left" readingOrder="0" vertical="bottom"/>
    </xf>
    <xf borderId="7" fillId="2" fontId="1" numFmtId="0" xfId="0" applyAlignment="1" applyBorder="1" applyFont="1">
      <alignment shrinkToFit="0" vertical="bottom" wrapText="0"/>
    </xf>
    <xf borderId="8" fillId="3" fontId="2" numFmtId="166" xfId="0" applyAlignment="1" applyBorder="1" applyFont="1" applyNumberFormat="1">
      <alignment horizontal="left" readingOrder="0" vertical="bottom"/>
    </xf>
    <xf borderId="6" fillId="2" fontId="4" numFmtId="0" xfId="0" applyAlignment="1" applyBorder="1" applyFont="1">
      <alignment horizontal="left" shrinkToFit="0" wrapText="0"/>
    </xf>
    <xf borderId="6" fillId="3" fontId="9" numFmtId="0" xfId="0" applyAlignment="1" applyBorder="1" applyFont="1">
      <alignment horizontal="left" readingOrder="0" shrinkToFit="0" wrapText="0"/>
    </xf>
    <xf borderId="0" fillId="3" fontId="10" numFmtId="167" xfId="0" applyAlignment="1" applyFont="1" applyNumberFormat="1">
      <alignment horizontal="left" shrinkToFit="0" wrapText="0"/>
    </xf>
    <xf borderId="0" fillId="3" fontId="11" numFmtId="0" xfId="0" applyAlignment="1" applyFont="1">
      <alignment horizontal="left" readingOrder="0" shrinkToFit="0" wrapText="0"/>
    </xf>
    <xf borderId="1" fillId="3" fontId="12" numFmtId="0" xfId="0" applyAlignment="1" applyBorder="1" applyFont="1">
      <alignment shrinkToFit="0" wrapText="1"/>
    </xf>
    <xf borderId="1" fillId="3" fontId="12" numFmtId="0" xfId="0" applyAlignment="1" applyBorder="1" applyFont="1">
      <alignment readingOrder="0" shrinkToFit="0" wrapText="1"/>
    </xf>
    <xf borderId="0" fillId="3" fontId="12" numFmtId="0" xfId="0" applyAlignment="1" applyFont="1">
      <alignment shrinkToFit="0" wrapText="1"/>
    </xf>
    <xf borderId="0" fillId="3" fontId="12" numFmtId="0" xfId="0" applyAlignment="1" applyFont="1">
      <alignment readingOrder="0" shrinkToFit="0" wrapText="1"/>
    </xf>
    <xf borderId="9" fillId="3" fontId="13" numFmtId="0" xfId="0" applyAlignment="1" applyBorder="1" applyFont="1">
      <alignment horizontal="left" readingOrder="0" shrinkToFit="0" vertical="center" wrapText="0"/>
    </xf>
    <xf borderId="9" fillId="3" fontId="13" numFmtId="0" xfId="0" applyAlignment="1" applyBorder="1" applyFont="1">
      <alignment horizontal="center" readingOrder="0" shrinkToFit="0" vertical="center" wrapText="0"/>
    </xf>
    <xf borderId="9" fillId="3" fontId="13" numFmtId="0" xfId="0" applyAlignment="1" applyBorder="1" applyFont="1">
      <alignment horizontal="center" shrinkToFit="0" vertical="center" wrapText="0"/>
    </xf>
    <xf borderId="9" fillId="4" fontId="14" numFmtId="0" xfId="0" applyAlignment="1" applyBorder="1" applyFont="1">
      <alignment horizontal="center" readingOrder="0" shrinkToFit="0" vertical="center" wrapText="1"/>
    </xf>
    <xf borderId="9" fillId="4" fontId="14" numFmtId="49" xfId="0" applyAlignment="1" applyBorder="1" applyFont="1" applyNumberFormat="1">
      <alignment horizontal="center" readingOrder="0" shrinkToFit="0" vertical="center" wrapText="1"/>
    </xf>
    <xf borderId="9" fillId="3" fontId="7" numFmtId="0" xfId="0" applyAlignment="1" applyBorder="1" applyFont="1">
      <alignment readingOrder="0" shrinkToFit="0" vertical="center" wrapText="0"/>
    </xf>
    <xf borderId="9" fillId="5" fontId="7" numFmtId="3" xfId="0" applyAlignment="1" applyBorder="1" applyFill="1" applyFont="1" applyNumberFormat="1">
      <alignment horizontal="right" readingOrder="0" shrinkToFit="0" vertical="center" wrapText="0"/>
    </xf>
    <xf borderId="9" fillId="5" fontId="12" numFmtId="168" xfId="0" applyAlignment="1" applyBorder="1" applyFont="1" applyNumberFormat="1">
      <alignment horizontal="right" shrinkToFit="0" wrapText="1"/>
    </xf>
    <xf borderId="9" fillId="3" fontId="7" numFmtId="3" xfId="0" applyAlignment="1" applyBorder="1" applyFont="1" applyNumberFormat="1">
      <alignment horizontal="right" readingOrder="0" shrinkToFit="0" wrapText="0"/>
    </xf>
    <xf borderId="0" fillId="3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8.0"/>
    <col customWidth="1" min="3" max="3" width="11.5"/>
    <col customWidth="1" min="4" max="4" width="12.63"/>
    <col customWidth="1" min="5" max="5" width="13.5"/>
    <col customWidth="1" min="6" max="6" width="7.88"/>
    <col customWidth="1" min="7" max="7" width="13.88"/>
    <col customWidth="1" min="8" max="8" width="12.13"/>
    <col customWidth="1" min="9" max="9" width="11.25"/>
  </cols>
  <sheetData>
    <row r="1" ht="12.75" customHeight="1">
      <c r="A1" s="1" t="s">
        <v>0</v>
      </c>
      <c r="B1" s="2" t="s">
        <v>1</v>
      </c>
      <c r="C1" s="3" t="s">
        <v>3</v>
      </c>
      <c r="D1" s="5">
        <v>45658.0</v>
      </c>
      <c r="E1" s="7" t="s">
        <v>5</v>
      </c>
      <c r="F1" s="8" t="s">
        <v>8</v>
      </c>
      <c r="G1" s="10" t="s">
        <v>9</v>
      </c>
      <c r="H1" s="10" t="s">
        <v>9</v>
      </c>
      <c r="I1" s="10" t="s">
        <v>9</v>
      </c>
    </row>
    <row r="2" ht="12.75" customHeight="1">
      <c r="A2" s="13" t="s">
        <v>10</v>
      </c>
      <c r="B2" s="15">
        <v>46254.0</v>
      </c>
      <c r="C2" s="16" t="s">
        <v>12</v>
      </c>
      <c r="D2" s="17">
        <v>46234.0</v>
      </c>
      <c r="E2" s="18" t="s">
        <v>13</v>
      </c>
      <c r="F2" s="19" t="s">
        <v>14</v>
      </c>
      <c r="G2" s="20"/>
      <c r="H2" s="21" t="s">
        <v>9</v>
      </c>
      <c r="I2" s="20"/>
    </row>
    <row r="3" ht="12.75" customHeight="1">
      <c r="A3" s="22"/>
      <c r="B3" s="22"/>
      <c r="C3" s="22"/>
      <c r="D3" s="23" t="s">
        <v>9</v>
      </c>
      <c r="E3" s="22"/>
      <c r="F3" s="23" t="s">
        <v>15</v>
      </c>
      <c r="G3" s="24"/>
      <c r="H3" s="25" t="s">
        <v>9</v>
      </c>
      <c r="I3" s="24"/>
    </row>
    <row r="4" ht="13.5" customHeight="1">
      <c r="A4" s="26" t="s">
        <v>16</v>
      </c>
      <c r="B4" s="27" t="s">
        <v>17</v>
      </c>
      <c r="C4" s="27">
        <v>212.0</v>
      </c>
      <c r="D4" s="28"/>
      <c r="E4" s="27">
        <v>212.0</v>
      </c>
      <c r="F4" s="28"/>
      <c r="G4" s="28"/>
      <c r="H4" s="27">
        <v>212.0</v>
      </c>
      <c r="I4" s="28"/>
    </row>
    <row r="5" ht="25.5" customHeight="1">
      <c r="A5" s="29" t="s">
        <v>18</v>
      </c>
      <c r="B5" s="29" t="s">
        <v>19</v>
      </c>
      <c r="C5" s="30" t="s">
        <v>20</v>
      </c>
      <c r="D5" s="29" t="s">
        <v>21</v>
      </c>
      <c r="E5" s="29" t="s">
        <v>22</v>
      </c>
      <c r="F5" s="29" t="s">
        <v>23</v>
      </c>
      <c r="G5" s="29" t="s">
        <v>24</v>
      </c>
      <c r="H5" s="29" t="s">
        <v>25</v>
      </c>
      <c r="I5" s="29" t="s">
        <v>26</v>
      </c>
    </row>
    <row r="6" ht="12.75" customHeight="1">
      <c r="A6" s="31" t="s">
        <v>27</v>
      </c>
      <c r="B6" s="32">
        <f>sum(B7:B35)</f>
        <v>78555483</v>
      </c>
      <c r="C6" s="32">
        <f t="shared" ref="C6:C35" si="1">B6/C$4</f>
        <v>370544.7311</v>
      </c>
      <c r="D6" s="32">
        <f>sum(D7:D35)</f>
        <v>80241180</v>
      </c>
      <c r="E6" s="32">
        <f t="shared" ref="E6:E35" si="2">D6/E$4</f>
        <v>378496.1321</v>
      </c>
      <c r="F6" s="33">
        <f t="shared" ref="F6:F35" si="3">E6/C6-1</f>
        <v>0.02145868036</v>
      </c>
      <c r="G6" s="32">
        <f>sum(G7:G35)</f>
        <v>79640987</v>
      </c>
      <c r="H6" s="32">
        <f t="shared" ref="H6:H35" si="4">G6/H$4</f>
        <v>375665.033</v>
      </c>
      <c r="I6" s="33">
        <f t="shared" ref="I6:I35" si="5">D6/G6-1</f>
        <v>0.007536232568</v>
      </c>
    </row>
    <row r="7" ht="12.75" customHeight="1">
      <c r="A7" s="31" t="s">
        <v>28</v>
      </c>
      <c r="B7" s="34">
        <v>2536664.0</v>
      </c>
      <c r="C7" s="32">
        <f t="shared" si="1"/>
        <v>11965.39623</v>
      </c>
      <c r="D7" s="34">
        <v>2514214.0</v>
      </c>
      <c r="E7" s="32">
        <f t="shared" si="2"/>
        <v>11859.5</v>
      </c>
      <c r="F7" s="33">
        <f t="shared" si="3"/>
        <v>-0.008850206413</v>
      </c>
      <c r="G7" s="34">
        <v>2361508.0</v>
      </c>
      <c r="H7" s="32">
        <f t="shared" si="4"/>
        <v>11139.18868</v>
      </c>
      <c r="I7" s="33">
        <f t="shared" si="5"/>
        <v>0.06466461261</v>
      </c>
    </row>
    <row r="8" ht="12.75" customHeight="1">
      <c r="A8" s="31" t="s">
        <v>29</v>
      </c>
      <c r="B8" s="34">
        <v>1564328.0</v>
      </c>
      <c r="C8" s="32">
        <f t="shared" si="1"/>
        <v>7378.90566</v>
      </c>
      <c r="D8" s="34">
        <v>1501939.0</v>
      </c>
      <c r="E8" s="32">
        <f t="shared" si="2"/>
        <v>7084.617925</v>
      </c>
      <c r="F8" s="33">
        <f t="shared" si="3"/>
        <v>-0.0398823009</v>
      </c>
      <c r="G8" s="34">
        <v>1590042.0</v>
      </c>
      <c r="H8" s="32">
        <f t="shared" si="4"/>
        <v>7500.198113</v>
      </c>
      <c r="I8" s="33">
        <f t="shared" si="5"/>
        <v>-0.05540922818</v>
      </c>
    </row>
    <row r="9" ht="12.75" customHeight="1">
      <c r="A9" s="31" t="s">
        <v>30</v>
      </c>
      <c r="B9" s="34">
        <v>3025512.0</v>
      </c>
      <c r="C9" s="32">
        <f t="shared" si="1"/>
        <v>14271.28302</v>
      </c>
      <c r="D9" s="34">
        <v>2676572.0</v>
      </c>
      <c r="E9" s="32">
        <f t="shared" si="2"/>
        <v>12625.33962</v>
      </c>
      <c r="F9" s="33">
        <f t="shared" si="3"/>
        <v>-0.1153325454</v>
      </c>
      <c r="G9" s="34">
        <v>3041389.0</v>
      </c>
      <c r="H9" s="32">
        <f t="shared" si="4"/>
        <v>14346.17453</v>
      </c>
      <c r="I9" s="33">
        <f t="shared" si="5"/>
        <v>-0.1199507856</v>
      </c>
    </row>
    <row r="10" ht="12.75" customHeight="1">
      <c r="A10" s="31" t="s">
        <v>31</v>
      </c>
      <c r="B10" s="34">
        <v>1796168.0</v>
      </c>
      <c r="C10" s="32">
        <f t="shared" si="1"/>
        <v>8472.490566</v>
      </c>
      <c r="D10" s="34">
        <v>1922773.0</v>
      </c>
      <c r="E10" s="32">
        <f t="shared" si="2"/>
        <v>9069.683962</v>
      </c>
      <c r="F10" s="33">
        <f t="shared" si="3"/>
        <v>0.07048616833</v>
      </c>
      <c r="G10" s="34">
        <v>1769931.0</v>
      </c>
      <c r="H10" s="32">
        <f t="shared" si="4"/>
        <v>8348.731132</v>
      </c>
      <c r="I10" s="33">
        <f t="shared" si="5"/>
        <v>0.0863547788</v>
      </c>
    </row>
    <row r="11" ht="12.75" customHeight="1">
      <c r="A11" s="31" t="s">
        <v>32</v>
      </c>
      <c r="B11" s="34">
        <v>1166572.0</v>
      </c>
      <c r="C11" s="32">
        <f t="shared" si="1"/>
        <v>5502.698113</v>
      </c>
      <c r="D11" s="34">
        <v>1260895.0</v>
      </c>
      <c r="E11" s="32">
        <f t="shared" si="2"/>
        <v>5947.617925</v>
      </c>
      <c r="F11" s="33">
        <f t="shared" si="3"/>
        <v>0.08085484651</v>
      </c>
      <c r="G11" s="34">
        <v>1107690.0</v>
      </c>
      <c r="H11" s="32">
        <f t="shared" si="4"/>
        <v>5224.95283</v>
      </c>
      <c r="I11" s="33">
        <f t="shared" si="5"/>
        <v>0.1383103576</v>
      </c>
    </row>
    <row r="12" ht="12.75" customHeight="1">
      <c r="A12" s="31" t="s">
        <v>33</v>
      </c>
      <c r="B12" s="34">
        <v>1372797.0</v>
      </c>
      <c r="C12" s="32">
        <f t="shared" si="1"/>
        <v>6475.457547</v>
      </c>
      <c r="D12" s="34">
        <v>1429104.0</v>
      </c>
      <c r="E12" s="32">
        <f t="shared" si="2"/>
        <v>6741.056604</v>
      </c>
      <c r="F12" s="33">
        <f t="shared" si="3"/>
        <v>0.04101626096</v>
      </c>
      <c r="G12" s="34">
        <v>1402983.0</v>
      </c>
      <c r="H12" s="32">
        <f t="shared" si="4"/>
        <v>6617.84434</v>
      </c>
      <c r="I12" s="33">
        <f t="shared" si="5"/>
        <v>0.01861818711</v>
      </c>
    </row>
    <row r="13" ht="12.75" customHeight="1">
      <c r="A13" s="31" t="s">
        <v>34</v>
      </c>
      <c r="B13" s="34">
        <v>889902.0</v>
      </c>
      <c r="C13" s="32">
        <f t="shared" si="1"/>
        <v>4197.650943</v>
      </c>
      <c r="D13" s="34">
        <v>902893.0</v>
      </c>
      <c r="E13" s="32">
        <f t="shared" si="2"/>
        <v>4258.929245</v>
      </c>
      <c r="F13" s="33">
        <f t="shared" si="3"/>
        <v>0.01459823666</v>
      </c>
      <c r="G13" s="34">
        <v>960706.0</v>
      </c>
      <c r="H13" s="32">
        <f t="shared" si="4"/>
        <v>4531.632075</v>
      </c>
      <c r="I13" s="33">
        <f t="shared" si="5"/>
        <v>-0.06017761938</v>
      </c>
    </row>
    <row r="14" ht="12.75" customHeight="1">
      <c r="A14" s="31" t="s">
        <v>35</v>
      </c>
      <c r="B14" s="34">
        <v>363445.0</v>
      </c>
      <c r="C14" s="32">
        <f t="shared" si="1"/>
        <v>1714.363208</v>
      </c>
      <c r="D14" s="34">
        <v>390295.0</v>
      </c>
      <c r="E14" s="32">
        <f t="shared" si="2"/>
        <v>1841.014151</v>
      </c>
      <c r="F14" s="33">
        <f t="shared" si="3"/>
        <v>0.07387637744</v>
      </c>
      <c r="G14" s="34">
        <v>351671.0</v>
      </c>
      <c r="H14" s="32">
        <f t="shared" si="4"/>
        <v>1658.825472</v>
      </c>
      <c r="I14" s="33">
        <f t="shared" si="5"/>
        <v>0.1098299263</v>
      </c>
    </row>
    <row r="15" ht="12.75" customHeight="1">
      <c r="A15" s="31" t="s">
        <v>36</v>
      </c>
      <c r="B15" s="34">
        <v>388247.0</v>
      </c>
      <c r="C15" s="32">
        <f t="shared" si="1"/>
        <v>1831.353774</v>
      </c>
      <c r="D15" s="34">
        <v>407329.0</v>
      </c>
      <c r="E15" s="32">
        <f t="shared" si="2"/>
        <v>1921.363208</v>
      </c>
      <c r="F15" s="33">
        <f t="shared" si="3"/>
        <v>0.04914912414</v>
      </c>
      <c r="G15" s="34">
        <v>476840.0</v>
      </c>
      <c r="H15" s="32">
        <f t="shared" si="4"/>
        <v>2249.245283</v>
      </c>
      <c r="I15" s="33">
        <f t="shared" si="5"/>
        <v>-0.1457742639</v>
      </c>
    </row>
    <row r="16" ht="12.75" customHeight="1">
      <c r="A16" s="31" t="s">
        <v>37</v>
      </c>
      <c r="B16" s="34">
        <v>1.3516995E7</v>
      </c>
      <c r="C16" s="32">
        <f t="shared" si="1"/>
        <v>63759.41038</v>
      </c>
      <c r="D16" s="34">
        <v>1.3990138E7</v>
      </c>
      <c r="E16" s="32">
        <f t="shared" si="2"/>
        <v>65991.21698</v>
      </c>
      <c r="F16" s="33">
        <f t="shared" si="3"/>
        <v>0.03500356403</v>
      </c>
      <c r="G16" s="34">
        <v>1.3482671E7</v>
      </c>
      <c r="H16" s="32">
        <f t="shared" si="4"/>
        <v>63597.50472</v>
      </c>
      <c r="I16" s="33">
        <f t="shared" si="5"/>
        <v>0.03763846199</v>
      </c>
    </row>
    <row r="17" ht="12.75" customHeight="1">
      <c r="A17" s="31" t="s">
        <v>38</v>
      </c>
      <c r="B17" s="34">
        <v>8506124.0</v>
      </c>
      <c r="C17" s="32">
        <f t="shared" si="1"/>
        <v>40123.22642</v>
      </c>
      <c r="D17" s="34">
        <v>8502867.0</v>
      </c>
      <c r="E17" s="32">
        <f t="shared" si="2"/>
        <v>40107.86321</v>
      </c>
      <c r="F17" s="33">
        <f t="shared" si="3"/>
        <v>-0.000382900602</v>
      </c>
      <c r="G17" s="34">
        <v>8601003.0</v>
      </c>
      <c r="H17" s="32">
        <f t="shared" si="4"/>
        <v>40570.76887</v>
      </c>
      <c r="I17" s="33">
        <f t="shared" si="5"/>
        <v>-0.01140983209</v>
      </c>
    </row>
    <row r="18" ht="12.75" customHeight="1">
      <c r="A18" s="31" t="s">
        <v>39</v>
      </c>
      <c r="B18" s="34">
        <v>4603258.0</v>
      </c>
      <c r="C18" s="32">
        <f t="shared" si="1"/>
        <v>21713.48113</v>
      </c>
      <c r="D18" s="34">
        <v>5157899.0</v>
      </c>
      <c r="E18" s="32">
        <f t="shared" si="2"/>
        <v>24329.71226</v>
      </c>
      <c r="F18" s="33">
        <f t="shared" si="3"/>
        <v>0.1204887929</v>
      </c>
      <c r="G18" s="34">
        <v>4804440.0</v>
      </c>
      <c r="H18" s="32">
        <f t="shared" si="4"/>
        <v>22662.45283</v>
      </c>
      <c r="I18" s="33">
        <f t="shared" si="5"/>
        <v>0.07356924012</v>
      </c>
    </row>
    <row r="19" ht="12.75" customHeight="1">
      <c r="A19" s="31" t="s">
        <v>40</v>
      </c>
      <c r="B19" s="34">
        <v>2416898.0</v>
      </c>
      <c r="C19" s="32">
        <f t="shared" si="1"/>
        <v>11400.46226</v>
      </c>
      <c r="D19" s="34">
        <v>2281376.0</v>
      </c>
      <c r="E19" s="32">
        <f t="shared" si="2"/>
        <v>10761.20755</v>
      </c>
      <c r="F19" s="33">
        <f t="shared" si="3"/>
        <v>-0.05607270145</v>
      </c>
      <c r="G19" s="34">
        <v>2327463.0</v>
      </c>
      <c r="H19" s="32">
        <f t="shared" si="4"/>
        <v>10978.59906</v>
      </c>
      <c r="I19" s="33">
        <f t="shared" si="5"/>
        <v>-0.01980138889</v>
      </c>
    </row>
    <row r="20" ht="12.75" customHeight="1">
      <c r="A20" s="31" t="s">
        <v>41</v>
      </c>
      <c r="B20" s="34">
        <v>2976279.0</v>
      </c>
      <c r="C20" s="32">
        <f t="shared" si="1"/>
        <v>14039.05189</v>
      </c>
      <c r="D20" s="34">
        <v>2930888.0</v>
      </c>
      <c r="E20" s="32">
        <f t="shared" si="2"/>
        <v>13824.9434</v>
      </c>
      <c r="F20" s="33">
        <f t="shared" si="3"/>
        <v>-0.01525092238</v>
      </c>
      <c r="G20" s="34">
        <v>3026751.0</v>
      </c>
      <c r="H20" s="32">
        <f t="shared" si="4"/>
        <v>14277.12736</v>
      </c>
      <c r="I20" s="33">
        <f t="shared" si="5"/>
        <v>-0.03167191487</v>
      </c>
    </row>
    <row r="21" ht="12.75" customHeight="1">
      <c r="A21" s="31" t="s">
        <v>42</v>
      </c>
      <c r="B21" s="34">
        <v>6995057.0</v>
      </c>
      <c r="C21" s="32">
        <f t="shared" si="1"/>
        <v>32995.55189</v>
      </c>
      <c r="D21" s="34">
        <v>7459238.0</v>
      </c>
      <c r="E21" s="32">
        <f t="shared" si="2"/>
        <v>35185.08491</v>
      </c>
      <c r="F21" s="33">
        <f t="shared" si="3"/>
        <v>0.06635842996</v>
      </c>
      <c r="G21" s="34">
        <v>7285789.0</v>
      </c>
      <c r="H21" s="32">
        <f t="shared" si="4"/>
        <v>34366.92925</v>
      </c>
      <c r="I21" s="33">
        <f t="shared" si="5"/>
        <v>0.02380648136</v>
      </c>
    </row>
    <row r="22" ht="12.75" customHeight="1">
      <c r="A22" s="31" t="s">
        <v>43</v>
      </c>
      <c r="B22" s="34">
        <v>346423.0</v>
      </c>
      <c r="C22" s="32">
        <f t="shared" si="1"/>
        <v>1634.070755</v>
      </c>
      <c r="D22" s="34">
        <v>372654.0</v>
      </c>
      <c r="E22" s="32">
        <f t="shared" si="2"/>
        <v>1757.801887</v>
      </c>
      <c r="F22" s="33">
        <f t="shared" si="3"/>
        <v>0.07571956827</v>
      </c>
      <c r="G22" s="34">
        <v>370396.0</v>
      </c>
      <c r="H22" s="32">
        <f t="shared" si="4"/>
        <v>1747.150943</v>
      </c>
      <c r="I22" s="33">
        <f t="shared" si="5"/>
        <v>0.006096178144</v>
      </c>
    </row>
    <row r="23" ht="12.75" customHeight="1">
      <c r="A23" s="31" t="s">
        <v>44</v>
      </c>
      <c r="B23" s="34">
        <v>274689.0</v>
      </c>
      <c r="C23" s="32">
        <f t="shared" si="1"/>
        <v>1295.70283</v>
      </c>
      <c r="D23" s="34">
        <v>295957.0</v>
      </c>
      <c r="E23" s="32">
        <f t="shared" si="2"/>
        <v>1396.023585</v>
      </c>
      <c r="F23" s="33">
        <f t="shared" si="3"/>
        <v>0.0774257433</v>
      </c>
      <c r="G23" s="34">
        <v>273492.0</v>
      </c>
      <c r="H23" s="32">
        <f t="shared" si="4"/>
        <v>1290.056604</v>
      </c>
      <c r="I23" s="33">
        <f t="shared" si="5"/>
        <v>0.08214134234</v>
      </c>
    </row>
    <row r="24" ht="12.75" customHeight="1">
      <c r="A24" s="31" t="s">
        <v>45</v>
      </c>
      <c r="B24" s="34">
        <v>738000.0</v>
      </c>
      <c r="C24" s="32">
        <f t="shared" si="1"/>
        <v>3481.132075</v>
      </c>
      <c r="D24" s="34">
        <v>676244.0</v>
      </c>
      <c r="E24" s="32">
        <f t="shared" si="2"/>
        <v>3189.830189</v>
      </c>
      <c r="F24" s="33">
        <f t="shared" si="3"/>
        <v>-0.0836802168</v>
      </c>
      <c r="G24" s="34">
        <v>695425.0</v>
      </c>
      <c r="H24" s="32">
        <f t="shared" si="4"/>
        <v>3280.306604</v>
      </c>
      <c r="I24" s="33">
        <f t="shared" si="5"/>
        <v>-0.02758169465</v>
      </c>
    </row>
    <row r="25" ht="12.75" customHeight="1">
      <c r="A25" s="31" t="s">
        <v>46</v>
      </c>
      <c r="B25" s="34">
        <v>1664021.0</v>
      </c>
      <c r="C25" s="32">
        <f t="shared" si="1"/>
        <v>7849.15566</v>
      </c>
      <c r="D25" s="34">
        <v>1686636.0</v>
      </c>
      <c r="E25" s="32">
        <f t="shared" si="2"/>
        <v>7955.830189</v>
      </c>
      <c r="F25" s="33">
        <f t="shared" si="3"/>
        <v>0.01359057368</v>
      </c>
      <c r="G25" s="34">
        <v>1790172.0</v>
      </c>
      <c r="H25" s="32">
        <f t="shared" si="4"/>
        <v>8444.207547</v>
      </c>
      <c r="I25" s="33">
        <f t="shared" si="5"/>
        <v>-0.05783578338</v>
      </c>
    </row>
    <row r="26" ht="12.75" customHeight="1">
      <c r="A26" s="31" t="s">
        <v>47</v>
      </c>
      <c r="B26" s="34">
        <v>1420566.0</v>
      </c>
      <c r="C26" s="32">
        <f t="shared" si="1"/>
        <v>6700.783019</v>
      </c>
      <c r="D26" s="34">
        <v>1359431.0</v>
      </c>
      <c r="E26" s="32">
        <f t="shared" si="2"/>
        <v>6412.410377</v>
      </c>
      <c r="F26" s="33">
        <f t="shared" si="3"/>
        <v>-0.04303566325</v>
      </c>
      <c r="G26" s="34">
        <v>1475487.0</v>
      </c>
      <c r="H26" s="32">
        <f t="shared" si="4"/>
        <v>6959.84434</v>
      </c>
      <c r="I26" s="33">
        <f t="shared" si="5"/>
        <v>-0.07865606407</v>
      </c>
    </row>
    <row r="27" ht="12.75" customHeight="1">
      <c r="A27" s="31" t="s">
        <v>48</v>
      </c>
      <c r="B27" s="34">
        <v>2211055.0</v>
      </c>
      <c r="C27" s="32">
        <f t="shared" si="1"/>
        <v>10429.50472</v>
      </c>
      <c r="D27" s="34">
        <v>2317637.0</v>
      </c>
      <c r="E27" s="32">
        <f t="shared" si="2"/>
        <v>10932.25</v>
      </c>
      <c r="F27" s="33">
        <f t="shared" si="3"/>
        <v>0.04820413784</v>
      </c>
      <c r="G27" s="34">
        <v>2380135.0</v>
      </c>
      <c r="H27" s="32">
        <f t="shared" si="4"/>
        <v>11227.05189</v>
      </c>
      <c r="I27" s="33">
        <f t="shared" si="5"/>
        <v>-0.02625817443</v>
      </c>
    </row>
    <row r="28" ht="12.75" customHeight="1">
      <c r="A28" s="31" t="s">
        <v>49</v>
      </c>
      <c r="B28" s="34">
        <v>2796175.0</v>
      </c>
      <c r="C28" s="32">
        <f t="shared" si="1"/>
        <v>13189.50472</v>
      </c>
      <c r="D28" s="34">
        <v>2853934.0</v>
      </c>
      <c r="E28" s="32">
        <f t="shared" si="2"/>
        <v>13461.95283</v>
      </c>
      <c r="F28" s="33">
        <f t="shared" si="3"/>
        <v>0.02065643245</v>
      </c>
      <c r="G28" s="34">
        <v>2789656.0</v>
      </c>
      <c r="H28" s="32">
        <f t="shared" si="4"/>
        <v>13158.75472</v>
      </c>
      <c r="I28" s="33">
        <f t="shared" si="5"/>
        <v>0.02304155064</v>
      </c>
    </row>
    <row r="29" ht="12.75" customHeight="1">
      <c r="A29" s="31" t="s">
        <v>50</v>
      </c>
      <c r="B29" s="34">
        <v>3841805.0</v>
      </c>
      <c r="C29" s="32">
        <f t="shared" si="1"/>
        <v>18121.7217</v>
      </c>
      <c r="D29" s="34">
        <v>3630222.0</v>
      </c>
      <c r="E29" s="32">
        <f t="shared" si="2"/>
        <v>17123.68868</v>
      </c>
      <c r="F29" s="33">
        <f t="shared" si="3"/>
        <v>-0.055073852</v>
      </c>
      <c r="G29" s="34">
        <v>3863099.0</v>
      </c>
      <c r="H29" s="32">
        <f t="shared" si="4"/>
        <v>18222.16509</v>
      </c>
      <c r="I29" s="33">
        <f t="shared" si="5"/>
        <v>-0.06028243128</v>
      </c>
    </row>
    <row r="30" ht="12.75" customHeight="1">
      <c r="A30" s="31" t="s">
        <v>51</v>
      </c>
      <c r="B30" s="34">
        <v>657599.0</v>
      </c>
      <c r="C30" s="32">
        <f t="shared" si="1"/>
        <v>3101.882075</v>
      </c>
      <c r="D30" s="34">
        <v>694467.0</v>
      </c>
      <c r="E30" s="32">
        <f t="shared" si="2"/>
        <v>3275.787736</v>
      </c>
      <c r="F30" s="33">
        <f t="shared" si="3"/>
        <v>0.05606456214</v>
      </c>
      <c r="G30" s="34">
        <v>748516.0</v>
      </c>
      <c r="H30" s="32">
        <f t="shared" si="4"/>
        <v>3530.735849</v>
      </c>
      <c r="I30" s="33">
        <f t="shared" si="5"/>
        <v>-0.07220820931</v>
      </c>
    </row>
    <row r="31" ht="12.75" customHeight="1">
      <c r="A31" s="31" t="s">
        <v>52</v>
      </c>
      <c r="B31" s="34">
        <v>442963.0</v>
      </c>
      <c r="C31" s="32">
        <f t="shared" si="1"/>
        <v>2089.448113</v>
      </c>
      <c r="D31" s="34">
        <v>496818.0</v>
      </c>
      <c r="E31" s="32">
        <f t="shared" si="2"/>
        <v>2343.481132</v>
      </c>
      <c r="F31" s="33">
        <f t="shared" si="3"/>
        <v>0.1215790032</v>
      </c>
      <c r="G31" s="34">
        <v>416231.0</v>
      </c>
      <c r="H31" s="32">
        <f t="shared" si="4"/>
        <v>1963.353774</v>
      </c>
      <c r="I31" s="33">
        <f t="shared" si="5"/>
        <v>0.1936112399</v>
      </c>
    </row>
    <row r="32" ht="12.75" customHeight="1">
      <c r="A32" s="31" t="s">
        <v>53</v>
      </c>
      <c r="B32" s="34">
        <v>1327463.0</v>
      </c>
      <c r="C32" s="32">
        <f t="shared" si="1"/>
        <v>6261.617925</v>
      </c>
      <c r="D32" s="34">
        <v>1399861.0</v>
      </c>
      <c r="E32" s="32">
        <f t="shared" si="2"/>
        <v>6603.117925</v>
      </c>
      <c r="F32" s="33">
        <f t="shared" si="3"/>
        <v>0.05453861991</v>
      </c>
      <c r="G32" s="34">
        <v>1302473.0</v>
      </c>
      <c r="H32" s="32">
        <f t="shared" si="4"/>
        <v>6143.740566</v>
      </c>
      <c r="I32" s="33">
        <f t="shared" si="5"/>
        <v>0.07477160755</v>
      </c>
    </row>
    <row r="33" ht="12.75" customHeight="1">
      <c r="A33" s="31" t="s">
        <v>54</v>
      </c>
      <c r="B33" s="34">
        <v>8072114.0</v>
      </c>
      <c r="C33" s="32">
        <f t="shared" si="1"/>
        <v>38076.00943</v>
      </c>
      <c r="D33" s="34">
        <v>8387701.0</v>
      </c>
      <c r="E33" s="32">
        <f t="shared" si="2"/>
        <v>39564.62736</v>
      </c>
      <c r="F33" s="33">
        <f t="shared" si="3"/>
        <v>0.03909595429</v>
      </c>
      <c r="G33" s="34">
        <v>8047172.0</v>
      </c>
      <c r="H33" s="32">
        <f t="shared" si="4"/>
        <v>37958.35849</v>
      </c>
      <c r="I33" s="33">
        <f t="shared" si="5"/>
        <v>0.04231660514</v>
      </c>
    </row>
    <row r="34" ht="12.75" customHeight="1">
      <c r="A34" s="31" t="s">
        <v>55</v>
      </c>
      <c r="B34" s="34">
        <v>1640977.0</v>
      </c>
      <c r="C34" s="32">
        <f t="shared" si="1"/>
        <v>7740.457547</v>
      </c>
      <c r="D34" s="34">
        <v>1704077.0</v>
      </c>
      <c r="E34" s="32">
        <f t="shared" si="2"/>
        <v>8038.099057</v>
      </c>
      <c r="F34" s="33">
        <f t="shared" si="3"/>
        <v>0.03845270226</v>
      </c>
      <c r="G34" s="34">
        <v>1788253.0</v>
      </c>
      <c r="H34" s="32">
        <f t="shared" si="4"/>
        <v>8435.15566</v>
      </c>
      <c r="I34" s="33">
        <f t="shared" si="5"/>
        <v>-0.04707163919</v>
      </c>
    </row>
    <row r="35" ht="12.75" customHeight="1">
      <c r="A35" s="31" t="s">
        <v>56</v>
      </c>
      <c r="B35" s="34">
        <v>1003387.0</v>
      </c>
      <c r="C35" s="32">
        <f t="shared" si="1"/>
        <v>4732.957547</v>
      </c>
      <c r="D35" s="34">
        <v>1037121.0</v>
      </c>
      <c r="E35" s="32">
        <f t="shared" si="2"/>
        <v>4892.080189</v>
      </c>
      <c r="F35" s="33">
        <f t="shared" si="3"/>
        <v>0.03362012862</v>
      </c>
      <c r="G35" s="34">
        <v>1109603.0</v>
      </c>
      <c r="H35" s="32">
        <f t="shared" si="4"/>
        <v>5233.976415</v>
      </c>
      <c r="I35" s="33">
        <f t="shared" si="5"/>
        <v>-0.06532246218</v>
      </c>
    </row>
    <row r="36" ht="12.75" customHeight="1">
      <c r="A36" s="35"/>
      <c r="B36" s="35"/>
      <c r="C36" s="35"/>
      <c r="D36" s="35"/>
      <c r="E36" s="35"/>
      <c r="F36" s="35"/>
      <c r="G36" s="35"/>
      <c r="H36" s="35"/>
      <c r="I36" s="3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63"/>
    <col customWidth="1" min="2" max="2" width="15.88"/>
    <col customWidth="1" min="3" max="3" width="7.0"/>
    <col customWidth="1" min="4" max="4" width="46.38"/>
  </cols>
  <sheetData>
    <row r="1" ht="12.0" customHeight="1">
      <c r="A1" s="4" t="s">
        <v>2</v>
      </c>
      <c r="B1" s="6" t="s">
        <v>4</v>
      </c>
      <c r="C1" s="6" t="s">
        <v>6</v>
      </c>
      <c r="D1" s="4" t="s">
        <v>7</v>
      </c>
    </row>
    <row r="2" ht="12.75" customHeight="1">
      <c r="A2" s="9"/>
      <c r="B2" s="11"/>
      <c r="C2" s="12"/>
      <c r="D2" s="14"/>
    </row>
    <row r="3" ht="12.0" customHeight="1">
      <c r="A3" s="9"/>
      <c r="B3" s="11"/>
      <c r="C3" s="12"/>
      <c r="D3" s="14" t="s">
        <v>11</v>
      </c>
    </row>
  </sheetData>
  <drawing r:id="rId1"/>
</worksheet>
</file>