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<sst xmlns="http://schemas.openxmlformats.org/spreadsheetml/2006/main" count="168" uniqueCount="127">
  <si>
    <t>Data source</t>
  </si>
  <si>
    <t>EUROCONTROL</t>
  </si>
  <si>
    <t>Period Start</t>
  </si>
  <si>
    <t>Meta data</t>
  </si>
  <si>
    <t xml:space="preserve">  </t>
  </si>
  <si>
    <t>Release date</t>
  </si>
  <si>
    <t>Period End</t>
  </si>
  <si>
    <t>Contact</t>
  </si>
  <si>
    <t>pru-support@eurocontrol.int</t>
  </si>
  <si>
    <t>TAXI ADDITIONAL TIME</t>
  </si>
  <si>
    <t xml:space="preserve"> </t>
  </si>
  <si>
    <t xml:space="preserve">   </t>
  </si>
  <si>
    <t>Period: JAN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</si>
  <si>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</si>
  <si>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</si>
  <si>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</si>
  <si>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</si>
  <si>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</si>
  <si>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</si>
  <si>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</si>
  <si>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</si>
  <si>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</si>
  <si>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</si>
  <si>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</si>
  <si>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</si>
  <si>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</si>
  <si>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</si>
  <si>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</si>
  <si>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</si>
  <si>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</si>
  <si>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</si>
  <si>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</si>
  <si>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</si>
  <si>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</si>
  <si>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</si>
  <si>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</si>
  <si>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</si>
  <si>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</si>
  <si>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</si>
  <si>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</si>
  <si>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</si>
  <si>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</si>
  <si>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</si>
  <si>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</si>
  <si>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</si>
  <si>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</si>
  <si>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</si>
  <si>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</si>
  <si>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</si>
  <si>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</si>
  <si>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</si>
  <si>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</si>
  <si>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</si>
  <si>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</si>
  <si>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</si>
  <si>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</si>
  <si>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</si>
  <si>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</si>
  <si>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</si>
  <si>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</si>
  <si>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</si>
  <si>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</si>
  <si>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</si>
  <si>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</si>
  <si>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</si>
  <si>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</si>
  <si>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</si>
  <si>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</si>
  <si>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</si>
  <si>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</si>
  <si>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</si>
  <si>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</si>
  <si>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</si>
  <si>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</si>
  <si>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</si>
  <si>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</si>
  <si>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</si>
  <si>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</si>
  <si>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</si>
  <si>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</si>
  <si>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</si>
  <si>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</si>
  <si>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</si>
  <si>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</si>
  <si>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</si>
  <si>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</si>
  <si>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</si>
  <si>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</si>
  <si>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</si>
  <si>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</si>
  <si>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</si>
  <si>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</si>
  <si>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</si>
  <si>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</si>
  <si>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</si>
  <si>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</si>
  <si>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</si>
  <si>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</si>
  <si>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</si>
  <si>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</si>
  <si>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</si>
  <si>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</si>
  <si>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</si>
  <si>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</si>
  <si>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</si>
  <si>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</si>
  <si>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</si>
  <si>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</si>
  <si>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</si>
  <si>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</si>
  <si>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</si>
  <si>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</si>
  <si>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</si>
  <si>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</si>
  <si>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</si>
  <si>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</si>
  <si>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</si>
  <si>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</si>
  <si>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</si>
  <si>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</si>
  <si>
    <t>Change date</t>
  </si>
  <si>
    <t>Entity</t>
  </si>
  <si>
    <t>Period</t>
  </si>
  <si>
    <t>Comment</t>
  </si>
  <si>
    <t>EDDS</t>
  </si>
  <si>
    <t>Stuttgart airport data added</t>
  </si>
  <si>
    <t xml:space="preserve">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</si>
</sst>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 &quot;mmm&quot; &quot;yyyy"/>
    <numFmt numFmtId="165" formatCode="m/d/yyyy"/>
    <numFmt numFmtId="166" formatCode="d mmm yyyy"/>
    <numFmt numFmtId="167" formatCode="dd-mm-yyyy"/>
  </numFmts>
  <fonts count="14">
    <font>
      <sz val="10.0"/>
      <color rgb="FF000000"/>
      <name val="Arial"/>
    </font>
    <font>
      <b/>
      <sz val="9.0"/>
      <color rgb="FF396EA2"/>
      <name val="Calibri"/>
    </font>
    <font>
      <sz val="9.0"/>
      <color rgb="FF396EA2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00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  <font>
      <sz val="9.0"/>
      <color rgb="FFF3F3F3"/>
      <name val="Calibri"/>
    </font>
    <font>
      <sz val="9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2" fontId="2" numFmtId="49" xfId="0" applyAlignment="1" applyFont="1" applyNumberFormat="1">
      <alignment vertical="bottom"/>
    </xf>
    <xf borderId="0" fillId="2" fontId="1" numFmtId="0" xfId="0" applyAlignment="1" applyFont="1">
      <alignment vertical="bottom"/>
    </xf>
    <xf borderId="0" fillId="2" fontId="2" numFmtId="164" xfId="0" applyAlignment="1" applyFont="1" applyNumberFormat="1">
      <alignment horizontal="left" readingOrder="0" vertical="bottom"/>
    </xf>
    <xf borderId="0" fillId="2" fontId="3" numFmtId="165" xfId="0" applyAlignment="1" applyFont="1" applyNumberFormat="1">
      <alignment horizontal="left" shrinkToFit="0" wrapText="0"/>
    </xf>
    <xf borderId="0" fillId="2" fontId="2" numFmtId="0" xfId="0" applyAlignment="1" applyFont="1">
      <alignment shrinkToFit="0" wrapText="1"/>
    </xf>
    <xf borderId="0" fillId="2" fontId="2" numFmtId="0" xfId="0" applyAlignment="1" applyFont="1">
      <alignment readingOrder="0" shrinkToFit="0" wrapText="1"/>
    </xf>
    <xf borderId="1" fillId="2" fontId="1" numFmtId="0" xfId="0" applyAlignment="1" applyBorder="1" applyFont="1">
      <alignment shrinkToFit="0" wrapText="0"/>
    </xf>
    <xf borderId="2" fillId="0" fontId="4" numFmtId="166" xfId="0" applyAlignment="1" applyBorder="1" applyFont="1" applyNumberFormat="1">
      <alignment horizontal="left" readingOrder="0" vertical="bottom"/>
    </xf>
    <xf borderId="1" fillId="2" fontId="1" numFmtId="0" xfId="0" applyAlignment="1" applyBorder="1" applyFont="1">
      <alignment vertical="bottom"/>
    </xf>
    <xf borderId="1" fillId="2" fontId="2" numFmtId="164" xfId="0" applyAlignment="1" applyBorder="1" applyFont="1" applyNumberFormat="1">
      <alignment horizontal="left" readingOrder="0" vertical="bottom"/>
    </xf>
    <xf borderId="1" fillId="2" fontId="5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shrinkToFit="0" wrapText="1"/>
    </xf>
    <xf borderId="0" fillId="3" fontId="6" numFmtId="0" xfId="0" applyAlignment="1" applyFill="1" applyFont="1">
      <alignment readingOrder="0" shrinkToFit="0" vertical="center" wrapText="0"/>
    </xf>
    <xf borderId="0" fillId="3" fontId="7" numFmtId="0" xfId="0" applyAlignment="1" applyFont="1">
      <alignment shrinkToFit="0" vertical="center" wrapText="0"/>
    </xf>
    <xf borderId="0" fillId="3" fontId="7" numFmtId="0" xfId="0" applyAlignment="1" applyFont="1">
      <alignment readingOrder="0" shrinkToFit="0" vertical="center" wrapText="0"/>
    </xf>
    <xf borderId="0" fillId="3" fontId="8" numFmtId="0" xfId="0" applyAlignment="1" applyFont="1">
      <alignment horizontal="center" readingOrder="0" shrinkToFit="0" vertical="center" wrapText="0"/>
    </xf>
    <xf borderId="0" fillId="3" fontId="9" numFmtId="0" xfId="0" applyAlignment="1" applyFont="1">
      <alignment readingOrder="0" shrinkToFit="0" vertical="center" wrapText="0"/>
    </xf>
    <xf borderId="0" fillId="3" fontId="10" numFmtId="0" xfId="0" applyAlignment="1" applyFont="1">
      <alignment shrinkToFit="0" vertical="center" wrapText="0"/>
    </xf>
    <xf borderId="0" fillId="3" fontId="10" numFmtId="0" xfId="0" applyAlignment="1" applyFont="1">
      <alignment horizontal="center" readingOrder="0" shrinkToFit="0" vertical="center" wrapText="0"/>
    </xf>
    <xf borderId="0" fillId="0" fontId="11" numFmtId="0" xfId="0" applyFont="1"/>
    <xf borderId="0" fillId="0" fontId="11" numFmtId="0" xfId="0" applyAlignment="1" applyFont="1">
      <alignment readingOrder="0"/>
    </xf>
    <xf borderId="3" fillId="4" fontId="12" numFmtId="0" xfId="0" applyAlignment="1" applyBorder="1" applyFill="1" applyFont="1">
      <alignment readingOrder="0" shrinkToFit="0" wrapText="0"/>
    </xf>
    <xf borderId="4" fillId="4" fontId="12" numFmtId="0" xfId="0" applyAlignment="1" applyBorder="1" applyFont="1">
      <alignment readingOrder="0" shrinkToFit="0" wrapText="0"/>
    </xf>
    <xf borderId="3" fillId="3" fontId="7" numFmtId="2" xfId="0" applyAlignment="1" applyBorder="1" applyFont="1" applyNumberFormat="1">
      <alignment readingOrder="0"/>
    </xf>
    <xf borderId="3" fillId="3" fontId="7" numFmtId="0" xfId="0" applyAlignment="1" applyBorder="1" applyFont="1">
      <alignment readingOrder="0"/>
    </xf>
    <xf borderId="3" fillId="5" fontId="11" numFmtId="3" xfId="0" applyAlignment="1" applyBorder="1" applyFill="1" applyFont="1" applyNumberFormat="1">
      <alignment horizontal="right" readingOrder="0"/>
    </xf>
    <xf borderId="3" fillId="5" fontId="7" numFmtId="4" xfId="0" applyAlignment="1" applyBorder="1" applyFont="1" applyNumberFormat="1">
      <alignment horizontal="right" readingOrder="0"/>
    </xf>
    <xf borderId="3" fillId="5" fontId="11" numFmtId="4" xfId="0" applyAlignment="1" applyBorder="1" applyFont="1" applyNumberFormat="1">
      <alignment horizontal="right" readingOrder="0"/>
    </xf>
    <xf borderId="3" fillId="6" fontId="11" numFmtId="3" xfId="0" applyAlignment="1" applyBorder="1" applyFill="1" applyFont="1" applyNumberFormat="1">
      <alignment horizontal="right" readingOrder="0"/>
    </xf>
    <xf borderId="3" fillId="6" fontId="7" numFmtId="4" xfId="0" applyAlignment="1" applyBorder="1" applyFont="1" applyNumberFormat="1">
      <alignment horizontal="right" readingOrder="0"/>
    </xf>
    <xf borderId="3" fillId="6" fontId="11" numFmtId="4" xfId="0" applyAlignment="1" applyBorder="1" applyFont="1" applyNumberFormat="1">
      <alignment horizontal="right" readingOrder="0"/>
    </xf>
    <xf borderId="0" fillId="3" fontId="7" numFmtId="0" xfId="0" applyAlignment="1" applyFont="1">
      <alignment readingOrder="0"/>
    </xf>
    <xf borderId="3" fillId="5" fontId="11" numFmtId="3" xfId="0" applyAlignment="1" applyBorder="1" applyFont="1" applyNumberFormat="1">
      <alignment readingOrder="0"/>
    </xf>
    <xf borderId="3" fillId="5" fontId="11" numFmtId="4" xfId="0" applyAlignment="1" applyBorder="1" applyFont="1" applyNumberFormat="1">
      <alignment readingOrder="0"/>
    </xf>
    <xf borderId="3" fillId="6" fontId="11" numFmtId="3" xfId="0" applyAlignment="1" applyBorder="1" applyFont="1" applyNumberFormat="1">
      <alignment readingOrder="0"/>
    </xf>
    <xf borderId="3" fillId="6" fontId="11" numFmtId="4" xfId="0" applyAlignment="1" applyBorder="1" applyFont="1" applyNumberFormat="1">
      <alignment readingOrder="0"/>
    </xf>
    <xf borderId="3" fillId="5" fontId="7" numFmtId="4" xfId="0" applyAlignment="1" applyBorder="1" applyFont="1" applyNumberFormat="1">
      <alignment readingOrder="0"/>
    </xf>
    <xf borderId="0" fillId="4" fontId="12" numFmtId="0" xfId="0" applyAlignment="1" applyFont="1">
      <alignment shrinkToFit="0" wrapText="0"/>
    </xf>
    <xf borderId="0" fillId="4" fontId="12" numFmtId="0" xfId="0" applyAlignment="1" applyFont="1">
      <alignment horizontal="center" shrinkToFit="0" wrapText="0"/>
    </xf>
    <xf borderId="0" fillId="3" fontId="13" numFmtId="167" xfId="0" applyAlignment="1" applyFont="1" applyNumberFormat="1">
      <alignment horizontal="center" readingOrder="0" shrinkToFit="0" vertical="bottom" wrapText="0"/>
    </xf>
    <xf borderId="0" fillId="3" fontId="7" numFmtId="0" xfId="0" applyAlignment="1" applyFont="1">
      <alignment readingOrder="0" vertical="bottom"/>
    </xf>
    <xf borderId="0" fillId="3" fontId="7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 shrinkToFit="0" wrapText="0"/>
    </xf>
    <xf borderId="0" fillId="0" fontId="13" numFmtId="0" xfId="0" applyAlignment="1" applyFont="1">
      <alignment readingOrder="0" shrinkToFit="0" wrapText="0"/>
    </xf>
    <xf borderId="0" fillId="3" fontId="13" numFmtId="164" xfId="0" applyAlignment="1" applyFont="1" applyNumberFormat="1">
      <alignment horizontal="center" readingOrder="0" shrinkToFit="0" vertical="bottom" wrapText="0"/>
    </xf>
    <xf borderId="0" fillId="3" fontId="7" numFmtId="17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1" t="s">
        <v>0</v>
      </c>
      <c r="B1" s="2" t="s">
        <v>1</v>
      </c>
      <c r="C1" s="3" t="s">
        <v>2</v>
      </c>
      <c r="D1" s="4">
        <v>46023.0</v>
      </c>
      <c r="E1" s="1" t="s">
        <v>3</v>
      </c>
      <c r="F1" s="5" t="str">
        <f>HYPERLINK("https://www.eurocontrol.int/prudata/dashboard/metadata/additional-taxi-out-time/","Taxi out additional time")</f>
        <v>Taxi out additional time</v>
      </c>
      <c r="G1" s="6"/>
      <c r="H1" s="6"/>
      <c r="I1" s="7" t="s">
        <v>4</v>
      </c>
      <c r="J1" s="7" t="s">
        <v>4</v>
      </c>
      <c r="K1" s="6"/>
    </row>
    <row r="2" ht="12.75" customHeight="1">
      <c r="A2" s="8" t="s">
        <v>5</v>
      </c>
      <c r="B2" s="9">
        <v>46098.0</v>
      </c>
      <c r="C2" s="10" t="s">
        <v>6</v>
      </c>
      <c r="D2" s="11">
        <v>46053.0</v>
      </c>
      <c r="E2" s="8" t="s">
        <v>7</v>
      </c>
      <c r="F2" s="12" t="s">
        <v>8</v>
      </c>
      <c r="G2" s="13"/>
      <c r="H2" s="6"/>
      <c r="I2" s="7" t="s">
        <v>4</v>
      </c>
      <c r="J2" s="6"/>
      <c r="K2" s="6"/>
    </row>
    <row r="3" ht="12.75" customHeight="1">
      <c r="A3" s="14" t="s">
        <v>9</v>
      </c>
      <c r="B3" s="15"/>
      <c r="C3" s="15"/>
      <c r="D3" s="15"/>
      <c r="E3" s="16" t="s">
        <v>10</v>
      </c>
      <c r="F3" s="16" t="s">
        <v>10</v>
      </c>
      <c r="G3" s="17" t="s">
        <v>10</v>
      </c>
      <c r="H3" s="17"/>
      <c r="I3" s="17" t="s">
        <v>11</v>
      </c>
      <c r="J3" s="17" t="s">
        <v>4</v>
      </c>
      <c r="K3" s="17"/>
    </row>
    <row r="4" ht="12.75" customHeight="1">
      <c r="A4" s="18" t="s">
        <v>12</v>
      </c>
      <c r="B4" s="19"/>
      <c r="C4" s="19"/>
      <c r="D4" s="20"/>
      <c r="E4" s="20" t="s">
        <v>10</v>
      </c>
      <c r="F4" s="21"/>
      <c r="G4" s="22" t="s">
        <v>4</v>
      </c>
      <c r="H4" s="21"/>
      <c r="I4" s="21"/>
      <c r="J4" s="21"/>
      <c r="K4" s="21"/>
    </row>
    <row r="5" ht="12.75" customHeight="1">
      <c r="A5" s="23" t="s">
        <v>13</v>
      </c>
      <c r="B5" s="24" t="s">
        <v>14</v>
      </c>
      <c r="C5" s="24" t="s">
        <v>15</v>
      </c>
      <c r="D5" s="24" t="s">
        <v>16</v>
      </c>
      <c r="E5" s="24" t="s">
        <v>17</v>
      </c>
      <c r="F5" s="24" t="s">
        <v>18</v>
      </c>
      <c r="G5" s="24" t="s">
        <v>19</v>
      </c>
      <c r="H5" s="24" t="s">
        <v>20</v>
      </c>
      <c r="I5" s="24" t="s">
        <v>21</v>
      </c>
      <c r="J5" s="24" t="s">
        <v>22</v>
      </c>
      <c r="K5" s="24" t="s">
        <v>23</v>
      </c>
    </row>
    <row r="6" ht="12.75" customHeight="1">
      <c r="A6" s="25" t="s">
        <v>24</v>
      </c>
      <c r="B6" s="25" t="s">
        <v>25</v>
      </c>
      <c r="C6" s="26" t="s">
        <v>26</v>
      </c>
      <c r="D6" s="27">
        <v>6542.0</v>
      </c>
      <c r="E6" s="28">
        <f t="shared" ref="E6:E16" si="1">F6/D6</f>
        <v>3.008957505</v>
      </c>
      <c r="F6" s="27">
        <v>19684.6</v>
      </c>
      <c r="G6" s="29">
        <v>8.71</v>
      </c>
      <c r="H6" s="30">
        <v>6636.0</v>
      </c>
      <c r="I6" s="31">
        <f t="shared" ref="I6:I16" si="2">J6/H6</f>
        <v>1.412869198</v>
      </c>
      <c r="J6" s="30">
        <v>9375.8</v>
      </c>
      <c r="K6" s="32">
        <v>4.06</v>
      </c>
    </row>
    <row r="7" ht="12.75" customHeight="1">
      <c r="A7" s="25" t="s">
        <v>27</v>
      </c>
      <c r="B7" s="25" t="s">
        <v>28</v>
      </c>
      <c r="C7" s="33" t="s">
        <v>29</v>
      </c>
      <c r="D7" s="27">
        <v>4012.0</v>
      </c>
      <c r="E7" s="28">
        <f t="shared" si="1"/>
        <v>2.759297939</v>
      </c>
      <c r="F7" s="27">
        <v>11070.30333</v>
      </c>
      <c r="G7" s="29">
        <v>8.25</v>
      </c>
      <c r="H7" s="30">
        <v>5649.0</v>
      </c>
      <c r="I7" s="31">
        <f t="shared" si="2"/>
        <v>1.875043371</v>
      </c>
      <c r="J7" s="30">
        <v>10592.12</v>
      </c>
      <c r="K7" s="32">
        <v>3.95</v>
      </c>
    </row>
    <row r="8" ht="12.75" customHeight="1">
      <c r="A8" s="25" t="s">
        <v>30</v>
      </c>
      <c r="B8" s="25" t="s">
        <v>31</v>
      </c>
      <c r="C8" s="26" t="s">
        <v>29</v>
      </c>
      <c r="D8" s="27">
        <v>13292.0</v>
      </c>
      <c r="E8" s="28">
        <f t="shared" si="1"/>
        <v>3.319084412</v>
      </c>
      <c r="F8" s="27">
        <v>44117.27</v>
      </c>
      <c r="G8" s="29">
        <v>10.91</v>
      </c>
      <c r="H8" s="30">
        <v>14737.0</v>
      </c>
      <c r="I8" s="31">
        <f t="shared" si="2"/>
        <v>2.530265658</v>
      </c>
      <c r="J8" s="30">
        <v>37288.525</v>
      </c>
      <c r="K8" s="32">
        <v>7.18</v>
      </c>
    </row>
    <row r="9" ht="12.75" customHeight="1">
      <c r="A9" s="25" t="s">
        <v>32</v>
      </c>
      <c r="B9" s="25" t="s">
        <v>33</v>
      </c>
      <c r="C9" s="26" t="s">
        <v>29</v>
      </c>
      <c r="D9" s="27">
        <v>3348.0</v>
      </c>
      <c r="E9" s="28">
        <f t="shared" si="1"/>
        <v>3.03519066</v>
      </c>
      <c r="F9" s="27">
        <v>10161.81833</v>
      </c>
      <c r="G9" s="28">
        <v>7.78</v>
      </c>
      <c r="H9" s="30">
        <v>3585.0</v>
      </c>
      <c r="I9" s="31">
        <f t="shared" si="2"/>
        <v>1.692148767</v>
      </c>
      <c r="J9" s="30">
        <v>6066.35333</v>
      </c>
      <c r="K9" s="32">
        <v>3.21</v>
      </c>
    </row>
    <row r="10" ht="12.75" customHeight="1">
      <c r="A10" s="25" t="s">
        <v>34</v>
      </c>
      <c r="B10" s="25" t="s">
        <v>35</v>
      </c>
      <c r="C10" s="26" t="s">
        <v>29</v>
      </c>
      <c r="D10" s="27">
        <v>3004.0</v>
      </c>
      <c r="E10" s="28">
        <f t="shared" si="1"/>
        <v>2.793847094</v>
      </c>
      <c r="F10" s="27">
        <v>8392.71667</v>
      </c>
      <c r="G10" s="29">
        <v>9.11</v>
      </c>
      <c r="H10" s="30">
        <v>3012.0</v>
      </c>
      <c r="I10" s="31">
        <f t="shared" si="2"/>
        <v>1.700707726</v>
      </c>
      <c r="J10" s="30">
        <v>5122.53167</v>
      </c>
      <c r="K10" s="32">
        <v>4.93</v>
      </c>
    </row>
    <row r="11" ht="12.75" customHeight="1">
      <c r="A11" s="25" t="s">
        <v>36</v>
      </c>
      <c r="B11" s="25" t="s">
        <v>37</v>
      </c>
      <c r="C11" s="26" t="s">
        <v>29</v>
      </c>
      <c r="D11" s="27">
        <v>3770.0</v>
      </c>
      <c r="E11" s="28">
        <f t="shared" si="1"/>
        <v>2.383232095</v>
      </c>
      <c r="F11" s="27">
        <v>8984.785</v>
      </c>
      <c r="G11" s="29">
        <v>9.06</v>
      </c>
      <c r="H11" s="30">
        <v>4799.0</v>
      </c>
      <c r="I11" s="31">
        <f t="shared" si="2"/>
        <v>1.159603042</v>
      </c>
      <c r="J11" s="30">
        <v>5564.935</v>
      </c>
      <c r="K11" s="32">
        <v>3.19</v>
      </c>
    </row>
    <row r="12" ht="12.75" customHeight="1">
      <c r="A12" s="25" t="s">
        <v>38</v>
      </c>
      <c r="B12" s="25" t="s">
        <v>39</v>
      </c>
      <c r="C12" s="26" t="s">
        <v>29</v>
      </c>
      <c r="D12" s="27">
        <v>7341.0</v>
      </c>
      <c r="E12" s="28">
        <f t="shared" si="1"/>
        <v>2.87663806</v>
      </c>
      <c r="F12" s="27">
        <v>21117.4</v>
      </c>
      <c r="G12" s="29">
        <v>9.71</v>
      </c>
      <c r="H12" s="30">
        <v>10701.0</v>
      </c>
      <c r="I12" s="31">
        <f t="shared" si="2"/>
        <v>1.662489487</v>
      </c>
      <c r="J12" s="30">
        <v>17790.3</v>
      </c>
      <c r="K12" s="32">
        <v>4.43</v>
      </c>
    </row>
    <row r="13" ht="12.75" customHeight="1">
      <c r="A13" s="25" t="s">
        <v>40</v>
      </c>
      <c r="B13" s="25" t="s">
        <v>41</v>
      </c>
      <c r="C13" s="26" t="s">
        <v>42</v>
      </c>
      <c r="D13" s="27">
        <v>5786.0</v>
      </c>
      <c r="E13" s="28">
        <f t="shared" si="1"/>
        <v>8.834041364</v>
      </c>
      <c r="F13" s="27">
        <v>51113.76333</v>
      </c>
      <c r="G13" s="29">
        <v>5.68</v>
      </c>
      <c r="H13" s="30">
        <v>5608.0</v>
      </c>
      <c r="I13" s="31">
        <f t="shared" si="2"/>
        <v>1.814589574</v>
      </c>
      <c r="J13" s="30">
        <v>10176.21833</v>
      </c>
      <c r="K13" s="32">
        <v>4.66</v>
      </c>
    </row>
    <row r="14" ht="12.75" customHeight="1">
      <c r="A14" s="25" t="s">
        <v>43</v>
      </c>
      <c r="B14" s="25" t="s">
        <v>44</v>
      </c>
      <c r="C14" s="26" t="s">
        <v>45</v>
      </c>
      <c r="D14" s="27">
        <v>14099.0</v>
      </c>
      <c r="E14" s="28">
        <f t="shared" si="1"/>
        <v>7.030610327</v>
      </c>
      <c r="F14" s="27">
        <v>99124.575</v>
      </c>
      <c r="G14" s="29">
        <v>9.34</v>
      </c>
      <c r="H14" s="30">
        <v>13736.0</v>
      </c>
      <c r="I14" s="31">
        <f t="shared" si="2"/>
        <v>3.052552417</v>
      </c>
      <c r="J14" s="30">
        <v>41929.86</v>
      </c>
      <c r="K14" s="32">
        <v>7.77</v>
      </c>
    </row>
    <row r="15" ht="12.75" customHeight="1">
      <c r="A15" s="26" t="s">
        <v>46</v>
      </c>
      <c r="B15" s="26" t="s">
        <v>47</v>
      </c>
      <c r="C15" s="26" t="s">
        <v>48</v>
      </c>
      <c r="D15" s="27">
        <v>8916.0</v>
      </c>
      <c r="E15" s="28">
        <f t="shared" si="1"/>
        <v>3.381740691</v>
      </c>
      <c r="F15" s="27">
        <v>30151.6</v>
      </c>
      <c r="G15" s="29">
        <v>10.51</v>
      </c>
      <c r="H15" s="30">
        <v>8762.0</v>
      </c>
      <c r="I15" s="31">
        <f t="shared" si="2"/>
        <v>1.722447691</v>
      </c>
      <c r="J15" s="30">
        <v>15092.08667</v>
      </c>
      <c r="K15" s="32">
        <v>4.95</v>
      </c>
    </row>
    <row r="16" ht="12.75" customHeight="1">
      <c r="A16" s="25" t="s">
        <v>49</v>
      </c>
      <c r="B16" s="25" t="s">
        <v>50</v>
      </c>
      <c r="C16" s="26" t="s">
        <v>51</v>
      </c>
      <c r="D16" s="27">
        <v>5624.0</v>
      </c>
      <c r="E16" s="28">
        <f t="shared" si="1"/>
        <v>3.309716394</v>
      </c>
      <c r="F16" s="27">
        <v>18613.845</v>
      </c>
      <c r="G16" s="28">
        <v>9.11</v>
      </c>
      <c r="H16" s="30">
        <v>8601.0</v>
      </c>
      <c r="I16" s="31">
        <f t="shared" si="2"/>
        <v>2.025797</v>
      </c>
      <c r="J16" s="30">
        <v>17423.88</v>
      </c>
      <c r="K16" s="32">
        <v>4.36</v>
      </c>
    </row>
    <row r="17" ht="12.75" customHeight="1">
      <c r="A17" s="25" t="s">
        <v>52</v>
      </c>
      <c r="B17" s="25" t="s">
        <v>53</v>
      </c>
      <c r="C17" s="26" t="s">
        <v>54</v>
      </c>
      <c r="D17" s="29" t="s">
        <v>55</v>
      </c>
      <c r="E17" s="29" t="s">
        <v>55</v>
      </c>
      <c r="F17" s="29" t="s">
        <v>55</v>
      </c>
      <c r="G17" s="29" t="s">
        <v>55</v>
      </c>
      <c r="H17" s="32" t="s">
        <v>55</v>
      </c>
      <c r="I17" s="32" t="s">
        <v>55</v>
      </c>
      <c r="J17" s="32" t="s">
        <v>55</v>
      </c>
      <c r="K17" s="32" t="s">
        <v>55</v>
      </c>
    </row>
    <row r="18" ht="12.75" customHeight="1">
      <c r="A18" s="25" t="s">
        <v>56</v>
      </c>
      <c r="B18" s="25" t="s">
        <v>57</v>
      </c>
      <c r="C18" s="26" t="s">
        <v>54</v>
      </c>
      <c r="D18" s="27">
        <v>7216.0</v>
      </c>
      <c r="E18" s="28">
        <f t="shared" ref="E18:E26" si="3">F18/D18</f>
        <v>12.01620011</v>
      </c>
      <c r="F18" s="27">
        <v>86708.9</v>
      </c>
      <c r="G18" s="29">
        <v>9.15</v>
      </c>
      <c r="H18" s="30">
        <v>7315.0</v>
      </c>
      <c r="I18" s="31">
        <f t="shared" ref="I18:I26" si="4">J18/H18</f>
        <v>2.022570062</v>
      </c>
      <c r="J18" s="30">
        <v>14795.1</v>
      </c>
      <c r="K18" s="32">
        <v>2.62</v>
      </c>
    </row>
    <row r="19" ht="12.75" customHeight="1">
      <c r="A19" s="25" t="s">
        <v>58</v>
      </c>
      <c r="B19" s="25" t="s">
        <v>59</v>
      </c>
      <c r="C19" s="26" t="s">
        <v>60</v>
      </c>
      <c r="D19" s="27">
        <v>4364.0</v>
      </c>
      <c r="E19" s="28">
        <f t="shared" si="3"/>
        <v>3.445823403</v>
      </c>
      <c r="F19" s="27">
        <v>15037.57333</v>
      </c>
      <c r="G19" s="29">
        <v>6.99</v>
      </c>
      <c r="H19" s="30">
        <v>7460.0</v>
      </c>
      <c r="I19" s="31">
        <f t="shared" si="4"/>
        <v>1.753003127</v>
      </c>
      <c r="J19" s="30">
        <v>13077.40333</v>
      </c>
      <c r="K19" s="32">
        <v>3.11</v>
      </c>
    </row>
    <row r="20" ht="12.75" customHeight="1">
      <c r="A20" s="25" t="s">
        <v>61</v>
      </c>
      <c r="B20" s="25" t="s">
        <v>62</v>
      </c>
      <c r="C20" s="26" t="s">
        <v>63</v>
      </c>
      <c r="D20" s="27">
        <v>6624.0</v>
      </c>
      <c r="E20" s="28">
        <f t="shared" si="3"/>
        <v>4.567844203</v>
      </c>
      <c r="F20" s="27">
        <v>30257.4</v>
      </c>
      <c r="G20" s="29">
        <v>7.13</v>
      </c>
      <c r="H20" s="30">
        <v>6617.0</v>
      </c>
      <c r="I20" s="31">
        <f t="shared" si="4"/>
        <v>2.137086293</v>
      </c>
      <c r="J20" s="30">
        <v>14141.1</v>
      </c>
      <c r="K20" s="32">
        <v>3.75</v>
      </c>
    </row>
    <row r="21" ht="12.75" customHeight="1">
      <c r="A21" s="25" t="s">
        <v>64</v>
      </c>
      <c r="B21" s="25" t="s">
        <v>65</v>
      </c>
      <c r="C21" s="26" t="s">
        <v>66</v>
      </c>
      <c r="D21" s="27">
        <v>5531.0</v>
      </c>
      <c r="E21" s="28">
        <f t="shared" si="3"/>
        <v>2.879757427</v>
      </c>
      <c r="F21" s="27">
        <v>15927.93833</v>
      </c>
      <c r="G21" s="29">
        <v>7.33</v>
      </c>
      <c r="H21" s="30">
        <v>5692.0</v>
      </c>
      <c r="I21" s="31">
        <f t="shared" si="4"/>
        <v>1.084896052</v>
      </c>
      <c r="J21" s="30">
        <v>6175.22833</v>
      </c>
      <c r="K21" s="32">
        <v>1.58</v>
      </c>
    </row>
    <row r="22" ht="12.75" customHeight="1">
      <c r="A22" s="25" t="s">
        <v>67</v>
      </c>
      <c r="B22" s="25" t="s">
        <v>68</v>
      </c>
      <c r="C22" s="26" t="s">
        <v>66</v>
      </c>
      <c r="D22" s="27">
        <v>3593.0</v>
      </c>
      <c r="E22" s="28">
        <f t="shared" si="3"/>
        <v>2.400731052</v>
      </c>
      <c r="F22" s="27">
        <v>8625.82667</v>
      </c>
      <c r="G22" s="29">
        <v>7.55</v>
      </c>
      <c r="H22" s="30">
        <v>3586.0</v>
      </c>
      <c r="I22" s="31">
        <f t="shared" si="4"/>
        <v>1.011018776</v>
      </c>
      <c r="J22" s="30">
        <v>3625.51333</v>
      </c>
      <c r="K22" s="32">
        <v>2.82</v>
      </c>
    </row>
    <row r="23" ht="12.75" customHeight="1">
      <c r="A23" s="25" t="s">
        <v>69</v>
      </c>
      <c r="B23" s="25" t="s">
        <v>70</v>
      </c>
      <c r="C23" s="26" t="s">
        <v>66</v>
      </c>
      <c r="D23" s="27">
        <v>11610.0</v>
      </c>
      <c r="E23" s="28">
        <f t="shared" si="3"/>
        <v>2.903719494</v>
      </c>
      <c r="F23" s="27">
        <v>33712.18333</v>
      </c>
      <c r="G23" s="28">
        <v>11.81</v>
      </c>
      <c r="H23" s="30">
        <v>11271.0</v>
      </c>
      <c r="I23" s="31">
        <f t="shared" si="4"/>
        <v>1.041818088</v>
      </c>
      <c r="J23" s="30">
        <v>11742.33167</v>
      </c>
      <c r="K23" s="32">
        <v>2.75</v>
      </c>
    </row>
    <row r="24" ht="12.75" customHeight="1">
      <c r="A24" s="25" t="s">
        <v>71</v>
      </c>
      <c r="B24" s="25" t="s">
        <v>72</v>
      </c>
      <c r="C24" s="26" t="s">
        <v>66</v>
      </c>
      <c r="D24" s="27">
        <v>14323.0</v>
      </c>
      <c r="E24" s="28">
        <f t="shared" si="3"/>
        <v>3.248676138</v>
      </c>
      <c r="F24" s="27">
        <v>46530.78833</v>
      </c>
      <c r="G24" s="29">
        <v>13.21</v>
      </c>
      <c r="H24" s="30">
        <v>15220.0</v>
      </c>
      <c r="I24" s="31">
        <f t="shared" si="4"/>
        <v>1.664177617</v>
      </c>
      <c r="J24" s="30">
        <v>25328.78333</v>
      </c>
      <c r="K24" s="32">
        <v>6.45</v>
      </c>
    </row>
    <row r="25" ht="12.75" customHeight="1">
      <c r="A25" s="25" t="s">
        <v>73</v>
      </c>
      <c r="B25" s="25" t="s">
        <v>74</v>
      </c>
      <c r="C25" s="26" t="s">
        <v>66</v>
      </c>
      <c r="D25" s="27">
        <v>4782.0</v>
      </c>
      <c r="E25" s="28">
        <f t="shared" si="3"/>
        <v>3.047870487</v>
      </c>
      <c r="F25" s="27">
        <v>14574.91667</v>
      </c>
      <c r="G25" s="29">
        <v>9.23</v>
      </c>
      <c r="H25" s="30">
        <v>4844.0</v>
      </c>
      <c r="I25" s="31">
        <f t="shared" si="4"/>
        <v>1.200940339</v>
      </c>
      <c r="J25" s="30">
        <v>5817.355</v>
      </c>
      <c r="K25" s="32">
        <v>2.86</v>
      </c>
    </row>
    <row r="26" ht="12.75" customHeight="1">
      <c r="A26" s="25" t="s">
        <v>75</v>
      </c>
      <c r="B26" s="25" t="s">
        <v>76</v>
      </c>
      <c r="C26" s="26" t="s">
        <v>66</v>
      </c>
      <c r="D26" s="27">
        <v>3881.0</v>
      </c>
      <c r="E26" s="28">
        <f t="shared" si="3"/>
        <v>1.618957743</v>
      </c>
      <c r="F26" s="27">
        <v>6283.175</v>
      </c>
      <c r="G26" s="29">
        <v>8.73</v>
      </c>
      <c r="H26" s="30">
        <v>3679.0</v>
      </c>
      <c r="I26" s="31">
        <f t="shared" si="4"/>
        <v>0.9609549687</v>
      </c>
      <c r="J26" s="30">
        <v>3535.35333</v>
      </c>
      <c r="K26" s="32">
        <v>2.62</v>
      </c>
    </row>
    <row r="27" ht="12.75" customHeight="1">
      <c r="A27" s="25" t="s">
        <v>77</v>
      </c>
      <c r="B27" s="25" t="s">
        <v>78</v>
      </c>
      <c r="C27" s="26" t="s">
        <v>79</v>
      </c>
      <c r="D27" s="29" t="s">
        <v>55</v>
      </c>
      <c r="E27" s="29" t="s">
        <v>55</v>
      </c>
      <c r="F27" s="29" t="s">
        <v>55</v>
      </c>
      <c r="G27" s="29" t="s">
        <v>55</v>
      </c>
      <c r="H27" s="32" t="s">
        <v>55</v>
      </c>
      <c r="I27" s="32" t="s">
        <v>55</v>
      </c>
      <c r="J27" s="32" t="s">
        <v>55</v>
      </c>
      <c r="K27" s="32" t="s">
        <v>55</v>
      </c>
    </row>
    <row r="28" ht="12.75" customHeight="1">
      <c r="A28" s="25" t="s">
        <v>80</v>
      </c>
      <c r="B28" s="25" t="s">
        <v>81</v>
      </c>
      <c r="C28" s="26" t="s">
        <v>79</v>
      </c>
      <c r="D28" s="27">
        <v>3147.0</v>
      </c>
      <c r="E28" s="28">
        <f t="shared" ref="E28:E43" si="5">F28/D28</f>
        <v>2.420082618</v>
      </c>
      <c r="F28" s="27">
        <v>7616.0</v>
      </c>
      <c r="G28" s="29">
        <v>8.0</v>
      </c>
      <c r="H28" s="30">
        <v>3620.0</v>
      </c>
      <c r="I28" s="31">
        <f t="shared" ref="I28:I43" si="6">J28/H28</f>
        <v>1.046878453</v>
      </c>
      <c r="J28" s="30">
        <v>3789.7</v>
      </c>
      <c r="K28" s="32">
        <v>2.95</v>
      </c>
    </row>
    <row r="29" ht="12.75" customHeight="1">
      <c r="A29" s="25" t="s">
        <v>82</v>
      </c>
      <c r="B29" s="25" t="s">
        <v>83</v>
      </c>
      <c r="C29" s="26" t="s">
        <v>79</v>
      </c>
      <c r="D29" s="27">
        <v>14370.0</v>
      </c>
      <c r="E29" s="28">
        <f t="shared" si="5"/>
        <v>3.733250986</v>
      </c>
      <c r="F29" s="27">
        <v>53646.81667</v>
      </c>
      <c r="G29" s="29">
        <v>11.74</v>
      </c>
      <c r="H29" s="30">
        <v>16446.0</v>
      </c>
      <c r="I29" s="31">
        <f t="shared" si="6"/>
        <v>2.322554623</v>
      </c>
      <c r="J29" s="30">
        <v>38196.73333</v>
      </c>
      <c r="K29" s="32">
        <v>7.5</v>
      </c>
    </row>
    <row r="30" ht="12.75" customHeight="1">
      <c r="A30" s="25" t="s">
        <v>84</v>
      </c>
      <c r="B30" s="25" t="s">
        <v>85</v>
      </c>
      <c r="C30" s="26" t="s">
        <v>79</v>
      </c>
      <c r="D30" s="27">
        <v>6799.0</v>
      </c>
      <c r="E30" s="28">
        <f t="shared" si="5"/>
        <v>2.925842036</v>
      </c>
      <c r="F30" s="27">
        <v>19892.8</v>
      </c>
      <c r="G30" s="29">
        <v>8.53</v>
      </c>
      <c r="H30" s="30">
        <v>7609.0</v>
      </c>
      <c r="I30" s="31">
        <f t="shared" si="6"/>
        <v>1.771323433</v>
      </c>
      <c r="J30" s="30">
        <v>13478.0</v>
      </c>
      <c r="K30" s="32">
        <v>4.28</v>
      </c>
    </row>
    <row r="31" ht="12.75" customHeight="1">
      <c r="A31" s="25" t="s">
        <v>86</v>
      </c>
      <c r="B31" s="25" t="s">
        <v>87</v>
      </c>
      <c r="C31" s="26" t="s">
        <v>88</v>
      </c>
      <c r="D31" s="27">
        <v>8524.0</v>
      </c>
      <c r="E31" s="28">
        <f t="shared" si="5"/>
        <v>2.483505397</v>
      </c>
      <c r="F31" s="27">
        <v>21169.4</v>
      </c>
      <c r="G31" s="29">
        <v>8.14</v>
      </c>
      <c r="H31" s="30">
        <v>8564.0</v>
      </c>
      <c r="I31" s="31">
        <f t="shared" si="6"/>
        <v>1.815495096</v>
      </c>
      <c r="J31" s="30">
        <v>15547.9</v>
      </c>
      <c r="K31" s="32">
        <v>4.24</v>
      </c>
    </row>
    <row r="32" ht="12.75" customHeight="1">
      <c r="A32" s="25" t="s">
        <v>89</v>
      </c>
      <c r="B32" s="25" t="s">
        <v>90</v>
      </c>
      <c r="C32" s="26" t="s">
        <v>91</v>
      </c>
      <c r="D32" s="27">
        <v>4498.0</v>
      </c>
      <c r="E32" s="28">
        <f t="shared" si="5"/>
        <v>3.507364013</v>
      </c>
      <c r="F32" s="27">
        <v>15776.12333</v>
      </c>
      <c r="G32" s="29">
        <v>8.65</v>
      </c>
      <c r="H32" s="30">
        <v>4522.0</v>
      </c>
      <c r="I32" s="31">
        <f t="shared" si="6"/>
        <v>2.015771046</v>
      </c>
      <c r="J32" s="30">
        <v>9115.31667</v>
      </c>
      <c r="K32" s="32">
        <v>3.9</v>
      </c>
    </row>
    <row r="33" ht="12.75" customHeight="1">
      <c r="A33" s="25" t="s">
        <v>92</v>
      </c>
      <c r="B33" s="25" t="s">
        <v>93</v>
      </c>
      <c r="C33" s="26" t="s">
        <v>94</v>
      </c>
      <c r="D33" s="27">
        <v>6426.0</v>
      </c>
      <c r="E33" s="28">
        <f t="shared" si="5"/>
        <v>3.953823011</v>
      </c>
      <c r="F33" s="27">
        <v>25407.26667</v>
      </c>
      <c r="G33" s="29">
        <v>12.05</v>
      </c>
      <c r="H33" s="30">
        <v>7668.0</v>
      </c>
      <c r="I33" s="31">
        <f t="shared" si="6"/>
        <v>1.958863676</v>
      </c>
      <c r="J33" s="30">
        <v>15020.56667</v>
      </c>
      <c r="K33" s="32">
        <v>4.73</v>
      </c>
    </row>
    <row r="34" ht="12.75" customHeight="1">
      <c r="A34" s="25" t="s">
        <v>95</v>
      </c>
      <c r="B34" s="25" t="s">
        <v>96</v>
      </c>
      <c r="C34" s="26" t="s">
        <v>94</v>
      </c>
      <c r="D34" s="27">
        <v>3502.0</v>
      </c>
      <c r="E34" s="28">
        <f t="shared" si="5"/>
        <v>3.590976585</v>
      </c>
      <c r="F34" s="27">
        <v>12575.6</v>
      </c>
      <c r="G34" s="29">
        <v>9.23</v>
      </c>
      <c r="H34" s="30">
        <v>3608.0</v>
      </c>
      <c r="I34" s="31">
        <f t="shared" si="6"/>
        <v>1.860726164</v>
      </c>
      <c r="J34" s="30">
        <v>6713.5</v>
      </c>
      <c r="K34" s="32">
        <v>3.19</v>
      </c>
    </row>
    <row r="35" ht="12.75" customHeight="1">
      <c r="A35" s="25" t="s">
        <v>97</v>
      </c>
      <c r="B35" s="25" t="s">
        <v>98</v>
      </c>
      <c r="C35" s="26" t="s">
        <v>94</v>
      </c>
      <c r="D35" s="27">
        <v>4407.0</v>
      </c>
      <c r="E35" s="28">
        <f t="shared" si="5"/>
        <v>4.334060206</v>
      </c>
      <c r="F35" s="27">
        <v>19100.20333</v>
      </c>
      <c r="G35" s="28">
        <v>8.9</v>
      </c>
      <c r="H35" s="30">
        <v>4705.0</v>
      </c>
      <c r="I35" s="31">
        <f t="shared" si="6"/>
        <v>1.869075452</v>
      </c>
      <c r="J35" s="30">
        <v>8794.0</v>
      </c>
      <c r="K35" s="32">
        <v>2.98</v>
      </c>
    </row>
    <row r="36" ht="12.75" customHeight="1">
      <c r="A36" s="25" t="s">
        <v>99</v>
      </c>
      <c r="B36" s="25" t="s">
        <v>100</v>
      </c>
      <c r="C36" s="26" t="s">
        <v>94</v>
      </c>
      <c r="D36" s="27">
        <v>10665.0</v>
      </c>
      <c r="E36" s="28">
        <f t="shared" si="5"/>
        <v>5.322240975</v>
      </c>
      <c r="F36" s="27">
        <v>56761.7</v>
      </c>
      <c r="G36" s="29">
        <v>12.07</v>
      </c>
      <c r="H36" s="30">
        <v>10663.0</v>
      </c>
      <c r="I36" s="31">
        <f t="shared" si="6"/>
        <v>2.633123886</v>
      </c>
      <c r="J36" s="30">
        <v>28077.0</v>
      </c>
      <c r="K36" s="32">
        <v>7.05</v>
      </c>
    </row>
    <row r="37" ht="12.75" customHeight="1">
      <c r="A37" s="25" t="s">
        <v>101</v>
      </c>
      <c r="B37" s="25" t="s">
        <v>102</v>
      </c>
      <c r="C37" s="26" t="s">
        <v>103</v>
      </c>
      <c r="D37" s="27">
        <v>3023.0</v>
      </c>
      <c r="E37" s="28">
        <f t="shared" si="5"/>
        <v>3.195004962</v>
      </c>
      <c r="F37" s="27">
        <v>9658.5</v>
      </c>
      <c r="G37" s="29">
        <v>8.27</v>
      </c>
      <c r="H37" s="30">
        <v>4548.0</v>
      </c>
      <c r="I37" s="31">
        <f t="shared" si="6"/>
        <v>2.108289358</v>
      </c>
      <c r="J37" s="30">
        <v>9588.5</v>
      </c>
      <c r="K37" s="32">
        <v>4.1</v>
      </c>
    </row>
    <row r="38" ht="12.75" customHeight="1">
      <c r="A38" s="25" t="s">
        <v>104</v>
      </c>
      <c r="B38" s="25" t="s">
        <v>105</v>
      </c>
      <c r="C38" s="26" t="s">
        <v>106</v>
      </c>
      <c r="D38" s="27">
        <v>5419.0</v>
      </c>
      <c r="E38" s="28">
        <f t="shared" si="5"/>
        <v>2.503524636</v>
      </c>
      <c r="F38" s="27">
        <v>13566.6</v>
      </c>
      <c r="G38" s="29">
        <v>7.29</v>
      </c>
      <c r="H38" s="30">
        <v>7717.0</v>
      </c>
      <c r="I38" s="31">
        <f t="shared" si="6"/>
        <v>1.637994039</v>
      </c>
      <c r="J38" s="30">
        <v>12640.4</v>
      </c>
      <c r="K38" s="32">
        <v>4.76</v>
      </c>
    </row>
    <row r="39" ht="12.75" customHeight="1">
      <c r="A39" s="25" t="s">
        <v>107</v>
      </c>
      <c r="B39" s="25" t="s">
        <v>108</v>
      </c>
      <c r="C39" s="26" t="s">
        <v>109</v>
      </c>
      <c r="D39" s="27">
        <v>3665.0</v>
      </c>
      <c r="E39" s="28">
        <f t="shared" si="5"/>
        <v>3.018178262</v>
      </c>
      <c r="F39" s="27">
        <v>11061.62333</v>
      </c>
      <c r="G39" s="29">
        <v>7.76</v>
      </c>
      <c r="H39" s="30">
        <v>3660.0</v>
      </c>
      <c r="I39" s="31">
        <f t="shared" si="6"/>
        <v>1.339279598</v>
      </c>
      <c r="J39" s="30">
        <v>4901.76333</v>
      </c>
      <c r="K39" s="32">
        <v>3.9</v>
      </c>
    </row>
    <row r="40" ht="12.75" customHeight="1">
      <c r="A40" s="25" t="s">
        <v>110</v>
      </c>
      <c r="B40" s="25" t="s">
        <v>111</v>
      </c>
      <c r="C40" s="26" t="s">
        <v>109</v>
      </c>
      <c r="D40" s="27">
        <v>8555.0</v>
      </c>
      <c r="E40" s="28">
        <f t="shared" si="5"/>
        <v>3.945014611</v>
      </c>
      <c r="F40" s="27">
        <v>33749.6</v>
      </c>
      <c r="G40" s="29">
        <v>11.65</v>
      </c>
      <c r="H40" s="30">
        <v>8615.0</v>
      </c>
      <c r="I40" s="31">
        <f t="shared" si="6"/>
        <v>1.55462101</v>
      </c>
      <c r="J40" s="30">
        <v>13393.06</v>
      </c>
      <c r="K40" s="32">
        <v>4.02</v>
      </c>
    </row>
    <row r="41" ht="12.75" customHeight="1">
      <c r="A41" s="25" t="s">
        <v>112</v>
      </c>
      <c r="B41" s="25" t="s">
        <v>113</v>
      </c>
      <c r="C41" s="26" t="s">
        <v>114</v>
      </c>
      <c r="D41" s="27">
        <v>4145.0</v>
      </c>
      <c r="E41" s="28">
        <f t="shared" si="5"/>
        <v>3.894668275</v>
      </c>
      <c r="F41" s="27">
        <v>16143.4</v>
      </c>
      <c r="G41" s="29">
        <v>5.37</v>
      </c>
      <c r="H41" s="30">
        <v>4235.0</v>
      </c>
      <c r="I41" s="31">
        <f t="shared" si="6"/>
        <v>1.674144038</v>
      </c>
      <c r="J41" s="30">
        <v>7090.0</v>
      </c>
      <c r="K41" s="32">
        <v>4.24</v>
      </c>
    </row>
    <row r="42" ht="12.75" customHeight="1">
      <c r="A42" s="25" t="s">
        <v>115</v>
      </c>
      <c r="B42" s="25" t="s">
        <v>116</v>
      </c>
      <c r="C42" s="26" t="s">
        <v>117</v>
      </c>
      <c r="D42" s="27">
        <v>7045.0</v>
      </c>
      <c r="E42" s="28">
        <f t="shared" si="5"/>
        <v>4.726497989</v>
      </c>
      <c r="F42" s="27">
        <v>33298.17833</v>
      </c>
      <c r="G42" s="29">
        <v>8.13</v>
      </c>
      <c r="H42" s="30">
        <v>7103.0</v>
      </c>
      <c r="I42" s="31">
        <f t="shared" si="6"/>
        <v>1.43553522</v>
      </c>
      <c r="J42" s="30">
        <v>10196.60667</v>
      </c>
      <c r="K42" s="32">
        <v>2.86</v>
      </c>
    </row>
    <row r="43" ht="12.75" customHeight="1">
      <c r="A43" s="25" t="s">
        <v>118</v>
      </c>
      <c r="B43" s="25" t="s">
        <v>119</v>
      </c>
      <c r="C43" s="26" t="s">
        <v>117</v>
      </c>
      <c r="D43" s="27">
        <v>7457.0</v>
      </c>
      <c r="E43" s="28">
        <f t="shared" si="5"/>
        <v>3.249795048</v>
      </c>
      <c r="F43" s="27">
        <v>24233.72167</v>
      </c>
      <c r="G43" s="29">
        <v>8.6</v>
      </c>
      <c r="H43" s="30">
        <v>9140.0</v>
      </c>
      <c r="I43" s="31">
        <f t="shared" si="6"/>
        <v>1.797021335</v>
      </c>
      <c r="J43" s="30">
        <v>16424.775</v>
      </c>
      <c r="K43" s="32">
        <v>4.36</v>
      </c>
    </row>
    <row r="44" ht="12.75" customHeight="1">
      <c r="A44" s="25"/>
      <c r="B44" s="25"/>
      <c r="C44" s="26"/>
      <c r="D44" s="34"/>
      <c r="E44" s="28"/>
      <c r="F44" s="34"/>
      <c r="G44" s="35"/>
      <c r="H44" s="36"/>
      <c r="I44" s="31"/>
      <c r="J44" s="36"/>
      <c r="K44" s="37"/>
    </row>
    <row r="45" ht="12.75" customHeight="1">
      <c r="A45" s="25"/>
      <c r="B45" s="25"/>
      <c r="C45" s="26"/>
      <c r="D45" s="34"/>
      <c r="E45" s="28"/>
      <c r="F45" s="34"/>
      <c r="G45" s="35"/>
      <c r="H45" s="36"/>
      <c r="I45" s="31"/>
      <c r="J45" s="36"/>
      <c r="K45" s="37"/>
    </row>
    <row r="46" ht="12.75" customHeight="1">
      <c r="A46" s="25"/>
      <c r="B46" s="25"/>
      <c r="C46" s="26"/>
      <c r="D46" s="34"/>
      <c r="E46" s="28"/>
      <c r="F46" s="34"/>
      <c r="G46" s="38"/>
      <c r="H46" s="36"/>
      <c r="I46" s="31"/>
      <c r="J46" s="36"/>
      <c r="K46" s="37"/>
    </row>
    <row r="47" ht="12.75" customHeight="1">
      <c r="A47" s="25"/>
      <c r="B47" s="25"/>
      <c r="C47" s="26"/>
      <c r="D47" s="34"/>
      <c r="E47" s="28"/>
      <c r="F47" s="34"/>
      <c r="G47" s="38"/>
      <c r="H47" s="36"/>
      <c r="I47" s="31"/>
      <c r="J47" s="36"/>
      <c r="K47" s="3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39" t="s">
        <v>120</v>
      </c>
      <c r="B1" s="40" t="s">
        <v>121</v>
      </c>
      <c r="C1" s="40" t="s">
        <v>122</v>
      </c>
      <c r="D1" s="39" t="s">
        <v>123</v>
      </c>
    </row>
    <row r="2" ht="15.75" customHeight="1">
      <c r="A2" s="41">
        <v>45365.0</v>
      </c>
      <c r="B2" s="42" t="s">
        <v>124</v>
      </c>
      <c r="C2" s="43">
        <v>2023.0</v>
      </c>
      <c r="D2" s="42" t="s">
        <v>125</v>
      </c>
    </row>
    <row r="3" ht="15.75" customHeight="1">
      <c r="A3" s="44"/>
      <c r="B3" s="45"/>
      <c r="C3" s="44"/>
      <c r="D3" s="45"/>
    </row>
    <row r="4" ht="15.75" customHeight="1">
      <c r="A4" s="44"/>
      <c r="B4" s="45"/>
      <c r="C4" s="44"/>
      <c r="D4" s="45" t="s">
        <v>126</v>
      </c>
    </row>
    <row r="5" ht="15.75" customHeight="1">
      <c r="A5" s="46"/>
      <c r="B5" s="47"/>
      <c r="C5" s="43"/>
      <c r="D5" s="42"/>
    </row>
  </sheetData>
  <drawing r:id="rId1"/>
</worksheet>
</file>