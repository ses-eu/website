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<sst xmlns="http://schemas.openxmlformats.org/spreadsheetml/2006/main" count="62" uniqueCount="57">
  <si>
    <t>Data source</t>
  </si>
  <si>
    <t>EUROCONTROL</t>
  </si>
  <si>
    <t>Period Start</t>
  </si>
  <si>
    <t>Meta data</t>
  </si>
  <si>
    <t>N/A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</si>
  <si>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</si>
  <si>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</si>
  <si>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</si>
  <si>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</si>
  <si>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</si>
  <si>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</si>
  <si>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JAN-MAY</t>
  </si>
  <si>
    <t>SOURCE: CRCO</t>
  </si>
  <si>
    <t>En-route service units</t>
  </si>
  <si>
    <t>Actual [2025]</t>
  </si>
  <si>
    <t>Daily ER SU [2025]</t>
  </si>
  <si>
    <t>Actual [2026]</t>
  </si>
  <si>
    <t>Daily ER SU [actual, 2026]</t>
  </si>
  <si>
    <t>26/25 (%)</t>
  </si>
  <si>
    <t>Det. [2026]</t>
  </si>
  <si>
    <t>Daily ER SU [2026]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</si>
  <si>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</si>
  <si>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</si>
  <si>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</si>
  <si>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</si>
  <si>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</si>
  <si>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</si>
  <si>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</si>
  <si>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</si>
  <si>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</si>
  <si>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</si>
  <si>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</si>
  <si>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</si>
  <si>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</si>
  <si>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</si>
  <si>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</si>
  <si>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</si>
  <si>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</si>
  <si>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</si>
  <si>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</si>
  <si>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</si>
  <si>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</si>
  <si>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</si>
  <si>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</si>
  <si>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</si>
  <si>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</si>
  <si>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</si>
  <si>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</si>
  <si>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</si>
  <si>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</si>
  <si>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</si>
  <si>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</si>
  <si>
    <t>Change date</t>
  </si>
  <si>
    <t>Entity</t>
  </si>
  <si>
    <t>Period</t>
  </si>
  <si>
    <t>Comment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</si>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</sst>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3" fontId="2" numFmtId="164" xfId="0" applyAlignment="1" applyFont="1" applyNumberFormat="1">
      <alignment horizontal="left" readingOrder="0" shrinkToFit="0" wrapText="0"/>
    </xf>
    <xf borderId="3" fillId="2" fontId="3" numFmtId="0" xfId="0" applyAlignment="1" applyBorder="1" applyFont="1">
      <alignment horizontal="left" shrinkToFit="0" wrapText="0"/>
    </xf>
    <xf borderId="1" fillId="3" fontId="4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4" fillId="0" fontId="5" numFmtId="165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vertical="bottom" wrapText="0"/>
    </xf>
    <xf borderId="6" fillId="3" fontId="2" numFmtId="166" xfId="0" applyAlignment="1" applyBorder="1" applyFont="1" applyNumberFormat="1">
      <alignment horizontal="left" readingOrder="0" vertical="bottom"/>
    </xf>
    <xf borderId="4" fillId="2" fontId="3" numFmtId="0" xfId="0" applyAlignment="1" applyBorder="1" applyFont="1">
      <alignment horizontal="left" shrinkToFit="0" wrapText="0"/>
    </xf>
    <xf borderId="4" fillId="3" fontId="6" numFmtId="0" xfId="0" applyAlignment="1" applyBorder="1" applyFont="1">
      <alignment horizontal="left" readingOrder="0" shrinkToFit="0" wrapText="0"/>
    </xf>
    <xf borderId="0" fillId="3" fontId="7" numFmtId="167" xfId="0" applyAlignment="1" applyFont="1" applyNumberFormat="1">
      <alignment horizontal="left" shrinkToFit="0" wrapText="0"/>
    </xf>
    <xf borderId="0" fillId="3" fontId="8" numFmtId="0" xfId="0" applyAlignment="1" applyFont="1">
      <alignment horizontal="left" readingOrder="0" shrinkToFit="0" wrapText="0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7" fillId="3" fontId="10" numFmtId="0" xfId="0" applyAlignment="1" applyBorder="1" applyFont="1">
      <alignment horizontal="left" readingOrder="0" shrinkToFit="0" vertical="center" wrapText="0"/>
    </xf>
    <xf borderId="7" fillId="3" fontId="10" numFmtId="0" xfId="0" applyAlignment="1" applyBorder="1" applyFont="1">
      <alignment horizontal="center" readingOrder="0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readingOrder="0" shrinkToFit="0" vertical="center" wrapText="1"/>
    </xf>
    <xf borderId="7" fillId="4" fontId="11" numFmtId="49" xfId="0" applyAlignment="1" applyBorder="1" applyFont="1" applyNumberFormat="1">
      <alignment horizontal="center" readingOrder="0" shrinkToFit="0" vertical="center" wrapText="1"/>
    </xf>
    <xf borderId="7" fillId="3" fontId="12" numFmtId="0" xfId="0" applyAlignment="1" applyBorder="1" applyFont="1">
      <alignment readingOrder="0" shrinkToFit="0" vertical="center" wrapText="0"/>
    </xf>
    <xf borderId="7" fillId="5" fontId="12" numFmtId="3" xfId="0" applyAlignment="1" applyBorder="1" applyFill="1" applyFont="1" applyNumberFormat="1">
      <alignment horizontal="right" readingOrder="0" shrinkToFit="0" vertical="center" wrapText="0"/>
    </xf>
    <xf borderId="7" fillId="5" fontId="9" numFmtId="168" xfId="0" applyAlignment="1" applyBorder="1" applyFont="1" applyNumberFormat="1">
      <alignment horizontal="right" shrinkToFit="0" wrapText="1"/>
    </xf>
    <xf borderId="7" fillId="3" fontId="12" numFmtId="3" xfId="0" applyAlignment="1" applyBorder="1" applyFont="1" applyNumberFormat="1">
      <alignment horizontal="right" readingOrder="0" shrinkToFit="0" wrapText="0"/>
    </xf>
    <xf borderId="0" fillId="3" fontId="12" numFmtId="0" xfId="0" applyAlignment="1" applyFont="1">
      <alignment readingOrder="0" shrinkToFit="0" vertical="center" wrapText="0"/>
    </xf>
    <xf borderId="8" fillId="4" fontId="13" numFmtId="0" xfId="0" applyAlignment="1" applyBorder="1" applyFont="1">
      <alignment shrinkToFit="0" wrapText="0"/>
    </xf>
    <xf borderId="8" fillId="4" fontId="13" numFmtId="0" xfId="0" applyAlignment="1" applyBorder="1" applyFont="1">
      <alignment horizontal="center" shrinkToFit="0" wrapText="0"/>
    </xf>
    <xf borderId="9" fillId="3" fontId="14" numFmtId="164" xfId="0" applyAlignment="1" applyBorder="1" applyFont="1" applyNumberFormat="1">
      <alignment horizontal="left" readingOrder="0" shrinkToFit="0" vertical="bottom" wrapText="0"/>
    </xf>
    <xf borderId="0" fillId="3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5" t="s">
        <v>3</v>
      </c>
      <c r="F1" s="6" t="s">
        <v>4</v>
      </c>
      <c r="G1" s="7" t="s">
        <v>5</v>
      </c>
      <c r="H1" s="7" t="s">
        <v>5</v>
      </c>
      <c r="I1" s="7" t="s">
        <v>5</v>
      </c>
    </row>
    <row r="2" ht="12.75" customHeight="1">
      <c r="A2" s="8" t="s">
        <v>6</v>
      </c>
      <c r="B2" s="9">
        <v>46190.0</v>
      </c>
      <c r="C2" s="10" t="s">
        <v>7</v>
      </c>
      <c r="D2" s="11">
        <v>46173.0</v>
      </c>
      <c r="E2" s="12" t="s">
        <v>8</v>
      </c>
      <c r="F2" s="13" t="s">
        <v>9</v>
      </c>
      <c r="G2" s="14"/>
      <c r="H2" s="15" t="s">
        <v>5</v>
      </c>
      <c r="I2" s="14"/>
    </row>
    <row r="3" ht="12.75" customHeight="1">
      <c r="A3" s="16"/>
      <c r="B3" s="16"/>
      <c r="C3" s="16"/>
      <c r="D3" s="17" t="s">
        <v>5</v>
      </c>
      <c r="E3" s="16"/>
      <c r="F3" s="17" t="s">
        <v>10</v>
      </c>
      <c r="G3" s="18"/>
      <c r="H3" s="19" t="s">
        <v>5</v>
      </c>
      <c r="I3" s="18"/>
    </row>
    <row r="4" ht="13.5" customHeight="1">
      <c r="A4" s="20" t="s">
        <v>11</v>
      </c>
      <c r="B4" s="21" t="s">
        <v>12</v>
      </c>
      <c r="C4" s="21">
        <v>151.0</v>
      </c>
      <c r="D4" s="22"/>
      <c r="E4" s="21">
        <v>151.0</v>
      </c>
      <c r="F4" s="22"/>
      <c r="G4" s="22"/>
      <c r="H4" s="21">
        <v>151.0</v>
      </c>
      <c r="I4" s="22"/>
    </row>
    <row r="5" ht="25.5" customHeight="1">
      <c r="A5" s="23" t="s">
        <v>13</v>
      </c>
      <c r="B5" s="23" t="s">
        <v>14</v>
      </c>
      <c r="C5" s="24" t="s">
        <v>15</v>
      </c>
      <c r="D5" s="23" t="s">
        <v>16</v>
      </c>
      <c r="E5" s="23" t="s">
        <v>17</v>
      </c>
      <c r="F5" s="23" t="s">
        <v>18</v>
      </c>
      <c r="G5" s="23" t="s">
        <v>19</v>
      </c>
      <c r="H5" s="23" t="s">
        <v>20</v>
      </c>
      <c r="I5" s="23" t="s">
        <v>21</v>
      </c>
    </row>
    <row r="6" ht="12.75" customHeight="1">
      <c r="A6" s="25" t="s">
        <v>22</v>
      </c>
      <c r="B6" s="26">
        <f>sum(B7:B35)</f>
        <v>51868569</v>
      </c>
      <c r="C6" s="26">
        <f t="shared" ref="C6:C35" si="1">B6/C$4</f>
        <v>343500.457</v>
      </c>
      <c r="D6" s="26">
        <f>sum(D7:D35)</f>
        <v>52898237</v>
      </c>
      <c r="E6" s="26">
        <f t="shared" ref="E6:E35" si="2">D6/E$4</f>
        <v>350319.4503</v>
      </c>
      <c r="F6" s="27">
        <f t="shared" ref="F6:F35" si="3">E6/C6-1</f>
        <v>0.0198514827</v>
      </c>
      <c r="G6" s="26">
        <f>sum(G7:G35)</f>
        <v>52571655</v>
      </c>
      <c r="H6" s="26">
        <f t="shared" ref="H6:H35" si="4">G6/H$4</f>
        <v>348156.6556</v>
      </c>
      <c r="I6" s="27">
        <f t="shared" ref="I6:I35" si="5">D6/G6-1</f>
        <v>0.006212130853</v>
      </c>
    </row>
    <row r="7" ht="12.75" customHeight="1">
      <c r="A7" s="25" t="s">
        <v>23</v>
      </c>
      <c r="B7" s="28">
        <v>1680592.0</v>
      </c>
      <c r="C7" s="26">
        <f t="shared" si="1"/>
        <v>11129.74834</v>
      </c>
      <c r="D7" s="28">
        <v>1661398.0</v>
      </c>
      <c r="E7" s="26">
        <f t="shared" si="2"/>
        <v>11002.63576</v>
      </c>
      <c r="F7" s="27">
        <f t="shared" si="3"/>
        <v>-0.01142097547</v>
      </c>
      <c r="G7" s="28">
        <v>1564548.0</v>
      </c>
      <c r="H7" s="26">
        <f t="shared" si="4"/>
        <v>10361.24503</v>
      </c>
      <c r="I7" s="27">
        <f t="shared" si="5"/>
        <v>0.06190286268</v>
      </c>
    </row>
    <row r="8" ht="12.75" customHeight="1">
      <c r="A8" s="25" t="s">
        <v>24</v>
      </c>
      <c r="B8" s="28">
        <v>1069643.0</v>
      </c>
      <c r="C8" s="26">
        <f t="shared" si="1"/>
        <v>7083.728477</v>
      </c>
      <c r="D8" s="28">
        <v>1019498.0</v>
      </c>
      <c r="E8" s="26">
        <f t="shared" si="2"/>
        <v>6751.642384</v>
      </c>
      <c r="F8" s="27">
        <f t="shared" si="3"/>
        <v>-0.04688012729</v>
      </c>
      <c r="G8" s="28">
        <v>1087226.0</v>
      </c>
      <c r="H8" s="26">
        <f t="shared" si="4"/>
        <v>7200.172185</v>
      </c>
      <c r="I8" s="27">
        <f t="shared" si="5"/>
        <v>-0.06229431599</v>
      </c>
    </row>
    <row r="9" ht="12.75" customHeight="1">
      <c r="A9" s="25" t="s">
        <v>25</v>
      </c>
      <c r="B9" s="28">
        <v>2019244.0</v>
      </c>
      <c r="C9" s="26">
        <f t="shared" si="1"/>
        <v>13372.47682</v>
      </c>
      <c r="D9" s="28">
        <v>1779802.0</v>
      </c>
      <c r="E9" s="26">
        <f t="shared" si="2"/>
        <v>11786.76821</v>
      </c>
      <c r="F9" s="27">
        <f t="shared" si="3"/>
        <v>-0.118580023</v>
      </c>
      <c r="G9" s="28">
        <v>2029840.0</v>
      </c>
      <c r="H9" s="26">
        <f t="shared" si="4"/>
        <v>13442.64901</v>
      </c>
      <c r="I9" s="27">
        <f t="shared" si="5"/>
        <v>-0.1231811374</v>
      </c>
    </row>
    <row r="10" ht="12.75" customHeight="1">
      <c r="A10" s="25" t="s">
        <v>26</v>
      </c>
      <c r="B10" s="28">
        <v>1085212.0</v>
      </c>
      <c r="C10" s="26">
        <f t="shared" si="1"/>
        <v>7186.834437</v>
      </c>
      <c r="D10" s="28">
        <v>1172205.0</v>
      </c>
      <c r="E10" s="26">
        <f t="shared" si="2"/>
        <v>7762.94702</v>
      </c>
      <c r="F10" s="27">
        <f t="shared" si="3"/>
        <v>0.08016221715</v>
      </c>
      <c r="G10" s="28">
        <v>1069360.0</v>
      </c>
      <c r="H10" s="26">
        <f t="shared" si="4"/>
        <v>7081.854305</v>
      </c>
      <c r="I10" s="27">
        <f t="shared" si="5"/>
        <v>0.09617434727</v>
      </c>
    </row>
    <row r="11" ht="12.75" customHeight="1">
      <c r="A11" s="25" t="s">
        <v>27</v>
      </c>
      <c r="B11" s="28">
        <v>790788.0</v>
      </c>
      <c r="C11" s="26">
        <f t="shared" si="1"/>
        <v>5237.006623</v>
      </c>
      <c r="D11" s="28">
        <v>840382.0</v>
      </c>
      <c r="E11" s="26">
        <f t="shared" si="2"/>
        <v>5565.443709</v>
      </c>
      <c r="F11" s="27">
        <f t="shared" si="3"/>
        <v>0.0627146593</v>
      </c>
      <c r="G11" s="28">
        <v>750873.0</v>
      </c>
      <c r="H11" s="26">
        <f t="shared" si="4"/>
        <v>4972.668874</v>
      </c>
      <c r="I11" s="27">
        <f t="shared" si="5"/>
        <v>0.1192065769</v>
      </c>
    </row>
    <row r="12" ht="12.75" customHeight="1">
      <c r="A12" s="25" t="s">
        <v>28</v>
      </c>
      <c r="B12" s="28">
        <v>881057.0</v>
      </c>
      <c r="C12" s="26">
        <f t="shared" si="1"/>
        <v>5834.81457</v>
      </c>
      <c r="D12" s="28">
        <v>932397.0</v>
      </c>
      <c r="E12" s="26">
        <f t="shared" si="2"/>
        <v>6174.81457</v>
      </c>
      <c r="F12" s="27">
        <f t="shared" si="3"/>
        <v>0.05827091777</v>
      </c>
      <c r="G12" s="28">
        <v>900430.0</v>
      </c>
      <c r="H12" s="26">
        <f t="shared" si="4"/>
        <v>5963.112583</v>
      </c>
      <c r="I12" s="27">
        <f t="shared" si="5"/>
        <v>0.03550192686</v>
      </c>
    </row>
    <row r="13" ht="12.75" customHeight="1">
      <c r="A13" s="25" t="s">
        <v>29</v>
      </c>
      <c r="B13" s="28">
        <v>597778.0</v>
      </c>
      <c r="C13" s="26">
        <f t="shared" si="1"/>
        <v>3958.794702</v>
      </c>
      <c r="D13" s="28">
        <v>603837.0</v>
      </c>
      <c r="E13" s="26">
        <f t="shared" si="2"/>
        <v>3998.92053</v>
      </c>
      <c r="F13" s="27">
        <f t="shared" si="3"/>
        <v>0.01013586984</v>
      </c>
      <c r="G13" s="28">
        <v>645339.0</v>
      </c>
      <c r="H13" s="26">
        <f t="shared" si="4"/>
        <v>4273.768212</v>
      </c>
      <c r="I13" s="27">
        <f t="shared" si="5"/>
        <v>-0.0643103857</v>
      </c>
    </row>
    <row r="14" ht="12.75" customHeight="1">
      <c r="A14" s="25" t="s">
        <v>30</v>
      </c>
      <c r="B14" s="28">
        <v>242422.0</v>
      </c>
      <c r="C14" s="26">
        <f t="shared" si="1"/>
        <v>1605.443709</v>
      </c>
      <c r="D14" s="28">
        <v>261447.0</v>
      </c>
      <c r="E14" s="26">
        <f t="shared" si="2"/>
        <v>1731.437086</v>
      </c>
      <c r="F14" s="27">
        <f t="shared" si="3"/>
        <v>0.07847885093</v>
      </c>
      <c r="G14" s="28">
        <v>234569.0</v>
      </c>
      <c r="H14" s="26">
        <f t="shared" si="4"/>
        <v>1553.437086</v>
      </c>
      <c r="I14" s="27">
        <f t="shared" si="5"/>
        <v>0.1145846212</v>
      </c>
    </row>
    <row r="15" ht="12.75" customHeight="1">
      <c r="A15" s="25" t="s">
        <v>31</v>
      </c>
      <c r="B15" s="28">
        <v>282291.0</v>
      </c>
      <c r="C15" s="26">
        <f t="shared" si="1"/>
        <v>1869.476821</v>
      </c>
      <c r="D15" s="28">
        <v>293587.0</v>
      </c>
      <c r="E15" s="26">
        <f t="shared" si="2"/>
        <v>1944.284768</v>
      </c>
      <c r="F15" s="27">
        <f t="shared" si="3"/>
        <v>0.04001544505</v>
      </c>
      <c r="G15" s="28">
        <v>346706.0</v>
      </c>
      <c r="H15" s="26">
        <f t="shared" si="4"/>
        <v>2296.066225</v>
      </c>
      <c r="I15" s="27">
        <f t="shared" si="5"/>
        <v>-0.1532105011</v>
      </c>
    </row>
    <row r="16" ht="12.75" customHeight="1">
      <c r="A16" s="25" t="s">
        <v>32</v>
      </c>
      <c r="B16" s="28">
        <v>8849929.0</v>
      </c>
      <c r="C16" s="26">
        <f t="shared" si="1"/>
        <v>58608.80132</v>
      </c>
      <c r="D16" s="28">
        <v>9155431.0</v>
      </c>
      <c r="E16" s="26">
        <f t="shared" si="2"/>
        <v>60631.99338</v>
      </c>
      <c r="F16" s="27">
        <f t="shared" si="3"/>
        <v>0.03452027694</v>
      </c>
      <c r="G16" s="28">
        <v>8827457.0</v>
      </c>
      <c r="H16" s="26">
        <f t="shared" si="4"/>
        <v>58459.98013</v>
      </c>
      <c r="I16" s="27">
        <f t="shared" si="5"/>
        <v>0.0371538485</v>
      </c>
    </row>
    <row r="17" ht="12.75" customHeight="1">
      <c r="A17" s="25" t="s">
        <v>33</v>
      </c>
      <c r="B17" s="28">
        <v>5727300.0</v>
      </c>
      <c r="C17" s="26">
        <f t="shared" si="1"/>
        <v>37929.13907</v>
      </c>
      <c r="D17" s="28">
        <v>5694026.0</v>
      </c>
      <c r="E17" s="26">
        <f t="shared" si="2"/>
        <v>37708.78146</v>
      </c>
      <c r="F17" s="27">
        <f t="shared" si="3"/>
        <v>-0.005809718366</v>
      </c>
      <c r="G17" s="28">
        <v>5791184.0</v>
      </c>
      <c r="H17" s="26">
        <f t="shared" si="4"/>
        <v>38352.21192</v>
      </c>
      <c r="I17" s="27">
        <f t="shared" si="5"/>
        <v>-0.01677688017</v>
      </c>
    </row>
    <row r="18" ht="12.75" customHeight="1">
      <c r="A18" s="25" t="s">
        <v>34</v>
      </c>
      <c r="B18" s="28">
        <v>2803364.0</v>
      </c>
      <c r="C18" s="26">
        <f t="shared" si="1"/>
        <v>18565.3245</v>
      </c>
      <c r="D18" s="28">
        <v>3270786.0</v>
      </c>
      <c r="E18" s="26">
        <f t="shared" si="2"/>
        <v>21660.83444</v>
      </c>
      <c r="F18" s="27">
        <f t="shared" si="3"/>
        <v>0.166736107</v>
      </c>
      <c r="G18" s="28">
        <v>2925883.0</v>
      </c>
      <c r="H18" s="26">
        <f t="shared" si="4"/>
        <v>19376.70861</v>
      </c>
      <c r="I18" s="27">
        <f t="shared" si="5"/>
        <v>0.1178799699</v>
      </c>
    </row>
    <row r="19" ht="12.75" customHeight="1">
      <c r="A19" s="25" t="s">
        <v>35</v>
      </c>
      <c r="B19" s="28">
        <v>1609221.0</v>
      </c>
      <c r="C19" s="26">
        <f t="shared" si="1"/>
        <v>10657.09272</v>
      </c>
      <c r="D19" s="28">
        <v>1505232.0</v>
      </c>
      <c r="E19" s="26">
        <f t="shared" si="2"/>
        <v>9968.423841</v>
      </c>
      <c r="F19" s="27">
        <f t="shared" si="3"/>
        <v>-0.06462070778</v>
      </c>
      <c r="G19" s="28">
        <v>1549674.0</v>
      </c>
      <c r="H19" s="26">
        <f t="shared" si="4"/>
        <v>10262.74172</v>
      </c>
      <c r="I19" s="27">
        <f t="shared" si="5"/>
        <v>-0.02867828976</v>
      </c>
    </row>
    <row r="20" ht="12.75" customHeight="1">
      <c r="A20" s="25" t="s">
        <v>36</v>
      </c>
      <c r="B20" s="28">
        <v>1978202.0</v>
      </c>
      <c r="C20" s="26">
        <f t="shared" si="1"/>
        <v>13100.6755</v>
      </c>
      <c r="D20" s="28">
        <v>1932713.0</v>
      </c>
      <c r="E20" s="26">
        <f t="shared" si="2"/>
        <v>12799.42384</v>
      </c>
      <c r="F20" s="27">
        <f t="shared" si="3"/>
        <v>-0.02299512385</v>
      </c>
      <c r="G20" s="28">
        <v>2011748.0</v>
      </c>
      <c r="H20" s="26">
        <f t="shared" si="4"/>
        <v>13322.83444</v>
      </c>
      <c r="I20" s="27">
        <f t="shared" si="5"/>
        <v>-0.03928672975</v>
      </c>
    </row>
    <row r="21" ht="12.75" customHeight="1">
      <c r="A21" s="25" t="s">
        <v>37</v>
      </c>
      <c r="B21" s="28">
        <v>4344408.0</v>
      </c>
      <c r="C21" s="26">
        <f t="shared" si="1"/>
        <v>28770.91391</v>
      </c>
      <c r="D21" s="28">
        <v>4659908.0</v>
      </c>
      <c r="E21" s="26">
        <f t="shared" si="2"/>
        <v>30860.31788</v>
      </c>
      <c r="F21" s="27">
        <f t="shared" si="3"/>
        <v>0.07262209258</v>
      </c>
      <c r="G21" s="28">
        <v>4524973.0</v>
      </c>
      <c r="H21" s="26">
        <f t="shared" si="4"/>
        <v>29966.70861</v>
      </c>
      <c r="I21" s="27">
        <f t="shared" si="5"/>
        <v>0.02982006743</v>
      </c>
    </row>
    <row r="22" ht="12.75" customHeight="1">
      <c r="A22" s="25" t="s">
        <v>38</v>
      </c>
      <c r="B22" s="28">
        <v>228261.0</v>
      </c>
      <c r="C22" s="26">
        <f t="shared" si="1"/>
        <v>1511.662252</v>
      </c>
      <c r="D22" s="28">
        <v>248165.0</v>
      </c>
      <c r="E22" s="26">
        <f t="shared" si="2"/>
        <v>1643.476821</v>
      </c>
      <c r="F22" s="27">
        <f t="shared" si="3"/>
        <v>0.08719842636</v>
      </c>
      <c r="G22" s="28">
        <v>244057.0</v>
      </c>
      <c r="H22" s="26">
        <f t="shared" si="4"/>
        <v>1616.271523</v>
      </c>
      <c r="I22" s="27">
        <f t="shared" si="5"/>
        <v>0.01683213348</v>
      </c>
    </row>
    <row r="23" ht="12.75" customHeight="1">
      <c r="A23" s="25" t="s">
        <v>39</v>
      </c>
      <c r="B23" s="28">
        <v>179467.0</v>
      </c>
      <c r="C23" s="26">
        <f t="shared" si="1"/>
        <v>1188.523179</v>
      </c>
      <c r="D23" s="28">
        <v>195894.0</v>
      </c>
      <c r="E23" s="26">
        <f t="shared" si="2"/>
        <v>1297.311258</v>
      </c>
      <c r="F23" s="27">
        <f t="shared" si="3"/>
        <v>0.09153214797</v>
      </c>
      <c r="G23" s="28">
        <v>178685.0</v>
      </c>
      <c r="H23" s="26">
        <f t="shared" si="4"/>
        <v>1183.344371</v>
      </c>
      <c r="I23" s="27">
        <f t="shared" si="5"/>
        <v>0.09630914738</v>
      </c>
    </row>
    <row r="24" ht="12.75" customHeight="1">
      <c r="A24" s="25" t="s">
        <v>40</v>
      </c>
      <c r="B24" s="28">
        <v>513850.0</v>
      </c>
      <c r="C24" s="26">
        <f t="shared" si="1"/>
        <v>3402.980132</v>
      </c>
      <c r="D24" s="28">
        <v>472916.0</v>
      </c>
      <c r="E24" s="26">
        <f t="shared" si="2"/>
        <v>3131.89404</v>
      </c>
      <c r="F24" s="27">
        <f t="shared" si="3"/>
        <v>-0.07966137978</v>
      </c>
      <c r="G24" s="28">
        <v>484206.0</v>
      </c>
      <c r="H24" s="26">
        <f t="shared" si="4"/>
        <v>3206.662252</v>
      </c>
      <c r="I24" s="27">
        <f t="shared" si="5"/>
        <v>-0.02331652231</v>
      </c>
    </row>
    <row r="25" ht="12.75" customHeight="1">
      <c r="A25" s="25" t="s">
        <v>41</v>
      </c>
      <c r="B25" s="28">
        <v>1140060.0</v>
      </c>
      <c r="C25" s="26">
        <f t="shared" si="1"/>
        <v>7550.066225</v>
      </c>
      <c r="D25" s="28">
        <v>1139561.0</v>
      </c>
      <c r="E25" s="26">
        <f t="shared" si="2"/>
        <v>7546.761589</v>
      </c>
      <c r="F25" s="27">
        <f t="shared" si="3"/>
        <v>-0.0004376962616</v>
      </c>
      <c r="G25" s="28">
        <v>1226489.0</v>
      </c>
      <c r="H25" s="26">
        <f t="shared" si="4"/>
        <v>8122.443709</v>
      </c>
      <c r="I25" s="27">
        <f t="shared" si="5"/>
        <v>-0.07087548278</v>
      </c>
    </row>
    <row r="26" ht="12.75" customHeight="1">
      <c r="A26" s="25" t="s">
        <v>42</v>
      </c>
      <c r="B26" s="28">
        <v>973344.0</v>
      </c>
      <c r="C26" s="26">
        <f t="shared" si="1"/>
        <v>6445.986755</v>
      </c>
      <c r="D26" s="28">
        <v>923581.0</v>
      </c>
      <c r="E26" s="26">
        <f t="shared" si="2"/>
        <v>6116.430464</v>
      </c>
      <c r="F26" s="27">
        <f t="shared" si="3"/>
        <v>-0.05112580958</v>
      </c>
      <c r="G26" s="28">
        <v>1010975.0</v>
      </c>
      <c r="H26" s="26">
        <f t="shared" si="4"/>
        <v>6695.198675</v>
      </c>
      <c r="I26" s="27">
        <f t="shared" si="5"/>
        <v>-0.08644526324</v>
      </c>
    </row>
    <row r="27" ht="12.75" customHeight="1">
      <c r="A27" s="25" t="s">
        <v>43</v>
      </c>
      <c r="B27" s="28">
        <v>1433597.0</v>
      </c>
      <c r="C27" s="26">
        <f t="shared" si="1"/>
        <v>9494.019868</v>
      </c>
      <c r="D27" s="28">
        <v>1495081.0</v>
      </c>
      <c r="E27" s="26">
        <f t="shared" si="2"/>
        <v>9901.198675</v>
      </c>
      <c r="F27" s="27">
        <f t="shared" si="3"/>
        <v>0.04288792457</v>
      </c>
      <c r="G27" s="28">
        <v>1543224.0</v>
      </c>
      <c r="H27" s="26">
        <f t="shared" si="4"/>
        <v>10220.02649</v>
      </c>
      <c r="I27" s="27">
        <f t="shared" si="5"/>
        <v>-0.03119637849</v>
      </c>
    </row>
    <row r="28" ht="12.75" customHeight="1">
      <c r="A28" s="25" t="s">
        <v>44</v>
      </c>
      <c r="B28" s="28">
        <v>1962066.0</v>
      </c>
      <c r="C28" s="26">
        <f t="shared" si="1"/>
        <v>12993.81457</v>
      </c>
      <c r="D28" s="28">
        <v>2001825.0</v>
      </c>
      <c r="E28" s="26">
        <f t="shared" si="2"/>
        <v>13257.11921</v>
      </c>
      <c r="F28" s="27">
        <f t="shared" si="3"/>
        <v>0.02026384434</v>
      </c>
      <c r="G28" s="28">
        <v>1957492.0</v>
      </c>
      <c r="H28" s="26">
        <f t="shared" si="4"/>
        <v>12963.52318</v>
      </c>
      <c r="I28" s="27">
        <f t="shared" si="5"/>
        <v>0.02264785756</v>
      </c>
    </row>
    <row r="29" ht="12.75" customHeight="1">
      <c r="A29" s="25" t="s">
        <v>45</v>
      </c>
      <c r="B29" s="28">
        <v>2629689.0</v>
      </c>
      <c r="C29" s="26">
        <f t="shared" si="1"/>
        <v>17415.15894</v>
      </c>
      <c r="D29" s="28">
        <v>2418959.0</v>
      </c>
      <c r="E29" s="26">
        <f t="shared" si="2"/>
        <v>16019.59603</v>
      </c>
      <c r="F29" s="27">
        <f t="shared" si="3"/>
        <v>-0.08013495132</v>
      </c>
      <c r="G29" s="28">
        <v>2644264.0</v>
      </c>
      <c r="H29" s="26">
        <f t="shared" si="4"/>
        <v>17511.68212</v>
      </c>
      <c r="I29" s="27">
        <f t="shared" si="5"/>
        <v>-0.08520518375</v>
      </c>
    </row>
    <row r="30" ht="12.75" customHeight="1">
      <c r="A30" s="25" t="s">
        <v>46</v>
      </c>
      <c r="B30" s="28">
        <v>413113.0</v>
      </c>
      <c r="C30" s="26">
        <f t="shared" si="1"/>
        <v>2735.847682</v>
      </c>
      <c r="D30" s="28">
        <v>436394.0</v>
      </c>
      <c r="E30" s="26">
        <f t="shared" si="2"/>
        <v>2890.02649</v>
      </c>
      <c r="F30" s="27">
        <f t="shared" si="3"/>
        <v>0.05635504087</v>
      </c>
      <c r="G30" s="28">
        <v>470228.0</v>
      </c>
      <c r="H30" s="26">
        <f t="shared" si="4"/>
        <v>3114.092715</v>
      </c>
      <c r="I30" s="27">
        <f t="shared" si="5"/>
        <v>-0.07195232951</v>
      </c>
    </row>
    <row r="31" ht="12.75" customHeight="1">
      <c r="A31" s="25" t="s">
        <v>47</v>
      </c>
      <c r="B31" s="28">
        <v>275829.0</v>
      </c>
      <c r="C31" s="26">
        <f t="shared" si="1"/>
        <v>1826.682119</v>
      </c>
      <c r="D31" s="28">
        <v>315211.0</v>
      </c>
      <c r="E31" s="26">
        <f t="shared" si="2"/>
        <v>2087.490066</v>
      </c>
      <c r="F31" s="27">
        <f t="shared" si="3"/>
        <v>0.1427768654</v>
      </c>
      <c r="G31" s="28">
        <v>259183.0</v>
      </c>
      <c r="H31" s="26">
        <f t="shared" si="4"/>
        <v>1716.443709</v>
      </c>
      <c r="I31" s="27">
        <f t="shared" si="5"/>
        <v>0.2161715853</v>
      </c>
    </row>
    <row r="32" ht="12.75" customHeight="1">
      <c r="A32" s="25" t="s">
        <v>48</v>
      </c>
      <c r="B32" s="28">
        <v>948230.0</v>
      </c>
      <c r="C32" s="26">
        <f t="shared" si="1"/>
        <v>6279.668874</v>
      </c>
      <c r="D32" s="28">
        <v>997213.0</v>
      </c>
      <c r="E32" s="26">
        <f t="shared" si="2"/>
        <v>6604.059603</v>
      </c>
      <c r="F32" s="27">
        <f t="shared" si="3"/>
        <v>0.05165729833</v>
      </c>
      <c r="G32" s="28">
        <v>930380.0</v>
      </c>
      <c r="H32" s="26">
        <f t="shared" si="4"/>
        <v>6161.456954</v>
      </c>
      <c r="I32" s="27">
        <f t="shared" si="5"/>
        <v>0.0718340893</v>
      </c>
    </row>
    <row r="33" ht="12.75" customHeight="1">
      <c r="A33" s="25" t="s">
        <v>49</v>
      </c>
      <c r="B33" s="28">
        <v>5433316.0</v>
      </c>
      <c r="C33" s="26">
        <f t="shared" si="1"/>
        <v>35982.22517</v>
      </c>
      <c r="D33" s="28">
        <v>5636775.0</v>
      </c>
      <c r="E33" s="26">
        <f t="shared" si="2"/>
        <v>37329.63576</v>
      </c>
      <c r="F33" s="27">
        <f t="shared" si="3"/>
        <v>0.03744656118</v>
      </c>
      <c r="G33" s="28">
        <v>5416527.0</v>
      </c>
      <c r="H33" s="26">
        <f t="shared" si="4"/>
        <v>35871.03974</v>
      </c>
      <c r="I33" s="27">
        <f t="shared" si="5"/>
        <v>0.04066221769</v>
      </c>
    </row>
    <row r="34" ht="12.75" customHeight="1">
      <c r="A34" s="25" t="s">
        <v>50</v>
      </c>
      <c r="B34" s="28">
        <v>1129553.0</v>
      </c>
      <c r="C34" s="26">
        <f t="shared" si="1"/>
        <v>7480.483444</v>
      </c>
      <c r="D34" s="28">
        <v>1169159.0</v>
      </c>
      <c r="E34" s="26">
        <f t="shared" si="2"/>
        <v>7742.774834</v>
      </c>
      <c r="F34" s="27">
        <f t="shared" si="3"/>
        <v>0.03506342775</v>
      </c>
      <c r="G34" s="28">
        <v>1230929.0</v>
      </c>
      <c r="H34" s="26">
        <f t="shared" si="4"/>
        <v>8151.847682</v>
      </c>
      <c r="I34" s="27">
        <f t="shared" si="5"/>
        <v>-0.0501816108</v>
      </c>
    </row>
    <row r="35" ht="12.75" customHeight="1">
      <c r="A35" s="25" t="s">
        <v>51</v>
      </c>
      <c r="B35" s="28">
        <v>646743.0</v>
      </c>
      <c r="C35" s="26">
        <f t="shared" si="1"/>
        <v>4283.066225</v>
      </c>
      <c r="D35" s="28">
        <v>664854.0</v>
      </c>
      <c r="E35" s="26">
        <f t="shared" si="2"/>
        <v>4403.006623</v>
      </c>
      <c r="F35" s="27">
        <f t="shared" si="3"/>
        <v>0.02800339548</v>
      </c>
      <c r="G35" s="28">
        <v>715206.0</v>
      </c>
      <c r="H35" s="26">
        <f t="shared" si="4"/>
        <v>4736.463576</v>
      </c>
      <c r="I35" s="27">
        <f t="shared" si="5"/>
        <v>-0.07040209394</v>
      </c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30" t="s">
        <v>52</v>
      </c>
      <c r="B1" s="31" t="s">
        <v>53</v>
      </c>
      <c r="C1" s="31" t="s">
        <v>54</v>
      </c>
      <c r="D1" s="30" t="s">
        <v>55</v>
      </c>
    </row>
    <row r="2" ht="12.75" customHeight="1">
      <c r="A2" s="32"/>
      <c r="B2" s="33"/>
      <c r="C2" s="34"/>
      <c r="D2" s="35"/>
    </row>
    <row r="3" ht="12.0" customHeight="1">
      <c r="A3" s="32"/>
      <c r="B3" s="33"/>
      <c r="C3" s="34"/>
      <c r="D3" s="35" t="s">
        <v>56</v>
      </c>
    </row>
  </sheetData>
  <drawing r:id="rId1"/>
</worksheet>
</file>