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MA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<sst xmlns="http://schemas.openxmlformats.org/spreadsheetml/2006/main" count="146" uniqueCount="121">
  <si>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</si>
  <si>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</si>
  <si>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</si>
  <si>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</si>
  <si>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</si>
  <si>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</si>
  <si>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</si>
  <si>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</si>
  <si>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ASMA ADDITIONAL TIME</t>
  </si>
  <si>
    <t xml:space="preserve"> </t>
  </si>
  <si>
    <t>Period: JAN-AUG</t>
  </si>
  <si>
    <t>Airport Name</t>
  </si>
  <si>
    <t>ICAO</t>
  </si>
  <si>
    <t>State</t>
  </si>
  <si>
    <t>Arrivals</t>
  </si>
  <si>
    <t>Avg. add. ASMA time [min/arr]</t>
  </si>
  <si>
    <t>Additional ASMA time [total]</t>
  </si>
  <si>
    <t>Avg. unimp. ASMA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</si>
  <si>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</si>
  <si>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</si>
  <si>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</si>
  <si>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</si>
  <si>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</si>
  <si>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</si>
  <si>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</si>
  <si>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</si>
  <si>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</si>
  <si>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</si>
  <si>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</si>
  <si>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</si>
  <si>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</si>
  <si>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</si>
  <si>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</si>
  <si>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</si>
  <si>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</si>
  <si>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</si>
  <si>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</si>
  <si>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</si>
  <si>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</si>
  <si>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</si>
  <si>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</si>
  <si>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</si>
  <si>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</si>
  <si>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</si>
  <si>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</si>
  <si>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</si>
  <si>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</si>
  <si>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</si>
  <si>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</si>
  <si>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</si>
  <si>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</si>
  <si>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</si>
  <si>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</si>
  <si>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</si>
  <si>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</si>
  <si>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</si>
  <si>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</si>
  <si>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</si>
  <si>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</si>
  <si>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</si>
  <si>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</si>
  <si>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</si>
  <si>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</si>
  <si>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</si>
  <si>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</si>
  <si>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</si>
  <si>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</si>
  <si>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</si>
  <si>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</si>
  <si>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</si>
  <si>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</si>
  <si>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</si>
  <si>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</si>
  <si>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</si>
  <si>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</si>
  <si>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</si>
  <si>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</si>
  <si>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</si>
  <si>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</si>
  <si>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</si>
  <si>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</si>
  <si>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</si>
  <si>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</si>
  <si>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</si>
  <si>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</si>
  <si>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</si>
  <si>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</si>
  <si>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</si>
  <si>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</si>
  <si>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</si>
  <si>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</si>
  <si>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</si>
  <si>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</si>
  <si>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</si>
  <si>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</si>
  <si>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</si>
  <si>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</si>
  <si>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</si>
  <si>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</si>
  <si>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</si>
  <si>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</si>
  <si>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</si>
  <si>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</si>
  <si>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</si>
  <si>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</si>
  <si>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</si>
  <si>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</si>
  <si>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</si>
  <si>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</si>
  <si>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</si>
  <si>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</si>
  <si>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</si>
  <si>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</si>
  <si>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</si>
  <si>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</si>
  <si>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</si>
  <si>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</si>
  <si>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</si>
  <si>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</si>
  <si>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added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</si>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</sst>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2" fillId="2" fontId="3" numFmtId="165" xfId="0" applyAlignment="1" applyBorder="1" applyFont="1" applyNumberFormat="1">
      <alignment horizontal="left" shrinkToFit="0" wrapText="0"/>
    </xf>
    <xf borderId="3" fillId="2" fontId="1" numFmtId="0" xfId="0" applyAlignment="1" applyBorder="1" applyFont="1">
      <alignment shrinkToFit="0" wrapText="0"/>
    </xf>
    <xf borderId="4" fillId="0" fontId="4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vertical="bottom"/>
    </xf>
    <xf borderId="5" fillId="2" fontId="2" numFmtId="164" xfId="0" applyAlignment="1" applyBorder="1" applyFont="1" applyNumberFormat="1">
      <alignment horizontal="left" vertical="bottom"/>
    </xf>
    <xf borderId="5" fillId="2" fontId="2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wrapText="0"/>
    </xf>
    <xf borderId="5" fillId="2" fontId="5" numFmtId="0" xfId="0" applyAlignment="1" applyBorder="1" applyFont="1">
      <alignment horizontal="left" readingOrder="0" shrinkToFit="0" wrapText="0"/>
    </xf>
    <xf borderId="6" fillId="3" fontId="6" numFmtId="0" xfId="0" applyAlignment="1" applyBorder="1" applyFill="1" applyFont="1">
      <alignment shrinkToFit="0" wrapText="0"/>
    </xf>
    <xf borderId="6" fillId="3" fontId="7" numFmtId="0" xfId="0" applyAlignment="1" applyBorder="1" applyFont="1">
      <alignment shrinkToFit="0" wrapText="1"/>
    </xf>
    <xf borderId="6" fillId="3" fontId="7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vertical="center" wrapText="0"/>
    </xf>
    <xf borderId="5" fillId="3" fontId="7" numFmtId="0" xfId="0" applyAlignment="1" applyBorder="1" applyFont="1">
      <alignment shrinkToFit="0" wrapText="1"/>
    </xf>
    <xf borderId="4" fillId="3" fontId="7" numFmtId="0" xfId="0" applyAlignment="1" applyBorder="1" applyFont="1">
      <alignment shrinkToFit="0" wrapText="1"/>
    </xf>
    <xf borderId="4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7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shrinkToFit="0" wrapText="0"/>
    </xf>
    <xf borderId="7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7" fillId="3" fontId="7" numFmtId="3" xfId="0" applyAlignment="1" applyBorder="1" applyFont="1" applyNumberFormat="1">
      <alignment horizontal="right" readingOrder="0" shrinkToFit="0" vertical="center" wrapText="0"/>
    </xf>
    <xf borderId="7" fillId="3" fontId="7" numFmtId="4" xfId="0" applyAlignment="1" applyBorder="1" applyFont="1" applyNumberFormat="1">
      <alignment horizontal="right" readingOrder="0" shrinkToFit="0" vertical="center" wrapText="0"/>
    </xf>
    <xf borderId="7" fillId="3" fontId="7" numFmtId="2" xfId="0" applyAlignment="1" applyBorder="1" applyFont="1" applyNumberFormat="1">
      <alignment horizontal="right" readingOrder="0" shrinkToFit="0" vertical="center" wrapText="0"/>
    </xf>
    <xf borderId="7" fillId="3" fontId="7" numFmtId="0" xfId="0" applyAlignment="1" applyBorder="1" applyFont="1">
      <alignment readingOrder="0" vertical="bottom"/>
    </xf>
    <xf borderId="7" fillId="3" fontId="7" numFmtId="3" xfId="0" applyAlignment="1" applyBorder="1" applyFont="1" applyNumberFormat="1">
      <alignment readingOrder="0" shrinkToFit="0" vertical="center" wrapText="0"/>
    </xf>
    <xf borderId="7" fillId="3" fontId="7" numFmtId="4" xfId="0" applyAlignment="1" applyBorder="1" applyFont="1" applyNumberFormat="1">
      <alignment readingOrder="0" shrinkToFit="0" vertical="center" wrapText="0"/>
    </xf>
    <xf borderId="7" fillId="3" fontId="7" numFmtId="2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2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5.5"/>
    <col customWidth="1" min="3" max="3" width="13.25"/>
    <col customWidth="1" min="4" max="5" width="22.75"/>
    <col customWidth="1" min="6" max="6" width="18.13"/>
    <col customWidth="1" min="7" max="7" width="20.75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HYPERLINK("https://www.eurocontrol.int/prudata/dashboard/metadata/additional-asma-time/","ASMA additional time")</f>
        <v>ASMA additional time</v>
      </c>
    </row>
    <row r="2" ht="12.75" customHeight="1">
      <c r="A2" s="8" t="s">
        <v>4</v>
      </c>
      <c r="B2" s="9">
        <v>45946.0</v>
      </c>
      <c r="C2" s="10" t="s">
        <v>5</v>
      </c>
      <c r="D2" s="11"/>
      <c r="E2" s="12">
        <v>45900.0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9</v>
      </c>
      <c r="G3" s="17" t="s">
        <v>9</v>
      </c>
    </row>
    <row r="4" ht="12.75" customHeight="1">
      <c r="A4" s="18" t="s">
        <v>10</v>
      </c>
      <c r="B4" s="19"/>
      <c r="C4" s="20"/>
      <c r="D4" s="21"/>
      <c r="E4" s="21" t="s">
        <v>9</v>
      </c>
      <c r="F4" s="22"/>
      <c r="G4" s="22"/>
    </row>
    <row r="5" ht="12.75" customHeight="1">
      <c r="A5" s="23" t="s">
        <v>11</v>
      </c>
      <c r="B5" s="23" t="s">
        <v>12</v>
      </c>
      <c r="C5" s="23" t="s">
        <v>13</v>
      </c>
      <c r="D5" s="24" t="s">
        <v>14</v>
      </c>
      <c r="E5" s="23" t="s">
        <v>15</v>
      </c>
      <c r="F5" s="23" t="s">
        <v>16</v>
      </c>
      <c r="G5" s="23" t="s">
        <v>17</v>
      </c>
    </row>
    <row r="6" ht="12.75" customHeight="1">
      <c r="A6" s="25" t="s">
        <v>18</v>
      </c>
      <c r="B6" s="25" t="s">
        <v>19</v>
      </c>
      <c r="C6" s="26" t="s">
        <v>20</v>
      </c>
      <c r="D6" s="27">
        <v>52689.0</v>
      </c>
      <c r="E6" s="28">
        <f t="shared" ref="E6:E16" si="1">F6/D6</f>
        <v>2.54588695</v>
      </c>
      <c r="F6" s="27">
        <v>134140.2375</v>
      </c>
      <c r="G6" s="29">
        <v>11.35</v>
      </c>
    </row>
    <row r="7" ht="12.75" customHeight="1">
      <c r="A7" s="25" t="s">
        <v>21</v>
      </c>
      <c r="B7" s="25" t="s">
        <v>22</v>
      </c>
      <c r="C7" s="30" t="s">
        <v>23</v>
      </c>
      <c r="D7" s="27">
        <v>54579.0</v>
      </c>
      <c r="E7" s="28">
        <f t="shared" si="1"/>
        <v>2.232698259</v>
      </c>
      <c r="F7" s="27">
        <v>121858.4383</v>
      </c>
      <c r="G7" s="28">
        <v>11.85</v>
      </c>
    </row>
    <row r="8" ht="12.75" customHeight="1">
      <c r="A8" s="25" t="s">
        <v>24</v>
      </c>
      <c r="B8" s="25" t="s">
        <v>25</v>
      </c>
      <c r="C8" s="30" t="s">
        <v>23</v>
      </c>
      <c r="D8" s="27">
        <v>134085.0</v>
      </c>
      <c r="E8" s="28">
        <f t="shared" si="1"/>
        <v>3.033169668</v>
      </c>
      <c r="F8" s="27">
        <v>406702.555</v>
      </c>
      <c r="G8" s="29">
        <v>12.76</v>
      </c>
    </row>
    <row r="9" ht="12.75" customHeight="1">
      <c r="A9" s="25" t="s">
        <v>26</v>
      </c>
      <c r="B9" s="25" t="s">
        <v>27</v>
      </c>
      <c r="C9" s="30" t="s">
        <v>23</v>
      </c>
      <c r="D9" s="27">
        <v>33798.0</v>
      </c>
      <c r="E9" s="28">
        <f t="shared" si="1"/>
        <v>2.36509685</v>
      </c>
      <c r="F9" s="27">
        <v>79935.54333</v>
      </c>
      <c r="G9" s="28">
        <v>12.2</v>
      </c>
    </row>
    <row r="10" ht="12.75" customHeight="1">
      <c r="A10" s="25" t="s">
        <v>28</v>
      </c>
      <c r="B10" s="25" t="s">
        <v>29</v>
      </c>
      <c r="C10" s="30" t="s">
        <v>23</v>
      </c>
      <c r="D10" s="27">
        <v>18319.0</v>
      </c>
      <c r="E10" s="28">
        <f t="shared" si="1"/>
        <v>1.929055762</v>
      </c>
      <c r="F10" s="27">
        <v>35338.3725</v>
      </c>
      <c r="G10" s="28">
        <v>11.93</v>
      </c>
    </row>
    <row r="11" ht="12.75" customHeight="1">
      <c r="A11" s="25" t="s">
        <v>30</v>
      </c>
      <c r="B11" s="25" t="s">
        <v>31</v>
      </c>
      <c r="C11" s="30" t="s">
        <v>23</v>
      </c>
      <c r="D11" s="27">
        <v>44303.0</v>
      </c>
      <c r="E11" s="28">
        <f t="shared" si="1"/>
        <v>1.977268921</v>
      </c>
      <c r="F11" s="27">
        <v>87598.945</v>
      </c>
      <c r="G11" s="29">
        <v>12.12</v>
      </c>
    </row>
    <row r="12" ht="12.75" customHeight="1">
      <c r="A12" s="25" t="s">
        <v>32</v>
      </c>
      <c r="B12" s="25" t="s">
        <v>33</v>
      </c>
      <c r="C12" s="30" t="s">
        <v>23</v>
      </c>
      <c r="D12" s="27">
        <v>98797.0</v>
      </c>
      <c r="E12" s="28">
        <f t="shared" si="1"/>
        <v>2.733169707</v>
      </c>
      <c r="F12" s="27">
        <v>270028.9675</v>
      </c>
      <c r="G12" s="29">
        <v>11.44</v>
      </c>
    </row>
    <row r="13" ht="12.75" customHeight="1">
      <c r="A13" s="25" t="s">
        <v>34</v>
      </c>
      <c r="B13" s="25" t="s">
        <v>35</v>
      </c>
      <c r="C13" s="30" t="s">
        <v>36</v>
      </c>
      <c r="D13" s="27">
        <v>33739.0</v>
      </c>
      <c r="E13" s="28">
        <f t="shared" si="1"/>
        <v>2.654481238</v>
      </c>
      <c r="F13" s="27">
        <v>89559.5425</v>
      </c>
      <c r="G13" s="29">
        <v>10.76</v>
      </c>
    </row>
    <row r="14" ht="12.75" customHeight="1">
      <c r="A14" s="25" t="s">
        <v>37</v>
      </c>
      <c r="B14" s="25" t="s">
        <v>38</v>
      </c>
      <c r="C14" s="30" t="s">
        <v>39</v>
      </c>
      <c r="D14" s="27">
        <v>144529.0</v>
      </c>
      <c r="E14" s="28">
        <f t="shared" si="1"/>
        <v>2.549775241</v>
      </c>
      <c r="F14" s="27">
        <v>368516.4658</v>
      </c>
      <c r="G14" s="29">
        <v>11.9</v>
      </c>
    </row>
    <row r="15" ht="12.75" customHeight="1">
      <c r="A15" s="25" t="s">
        <v>40</v>
      </c>
      <c r="B15" s="25" t="s">
        <v>41</v>
      </c>
      <c r="C15" s="30" t="s">
        <v>42</v>
      </c>
      <c r="D15" s="27">
        <v>67116.0</v>
      </c>
      <c r="E15" s="28">
        <f t="shared" si="1"/>
        <v>3.838903105</v>
      </c>
      <c r="F15" s="27">
        <v>257651.8208</v>
      </c>
      <c r="G15" s="28">
        <v>11.86</v>
      </c>
    </row>
    <row r="16" ht="12.75" customHeight="1">
      <c r="A16" s="25" t="s">
        <v>43</v>
      </c>
      <c r="B16" s="25" t="s">
        <v>44</v>
      </c>
      <c r="C16" s="30" t="s">
        <v>45</v>
      </c>
      <c r="D16" s="27">
        <v>65081.0</v>
      </c>
      <c r="E16" s="28">
        <f t="shared" si="1"/>
        <v>2.552868502</v>
      </c>
      <c r="F16" s="27">
        <v>166143.235</v>
      </c>
      <c r="G16" s="29">
        <v>11.69</v>
      </c>
    </row>
    <row r="17" ht="12.75" customHeight="1">
      <c r="A17" s="25" t="s">
        <v>46</v>
      </c>
      <c r="B17" s="25" t="s">
        <v>47</v>
      </c>
      <c r="C17" s="30" t="s">
        <v>48</v>
      </c>
      <c r="D17" s="28" t="s">
        <v>49</v>
      </c>
      <c r="E17" s="28" t="s">
        <v>49</v>
      </c>
      <c r="F17" s="28" t="s">
        <v>49</v>
      </c>
      <c r="G17" s="28" t="s">
        <v>49</v>
      </c>
    </row>
    <row r="18" ht="12.75" customHeight="1">
      <c r="A18" s="25" t="s">
        <v>50</v>
      </c>
      <c r="B18" s="25" t="s">
        <v>51</v>
      </c>
      <c r="C18" s="30" t="s">
        <v>48</v>
      </c>
      <c r="D18" s="27">
        <v>63693.0</v>
      </c>
      <c r="E18" s="28">
        <f t="shared" ref="E18:E43" si="2">F18/D18</f>
        <v>3.055193087</v>
      </c>
      <c r="F18" s="27">
        <v>194594.4133</v>
      </c>
      <c r="G18" s="29">
        <v>11.36</v>
      </c>
    </row>
    <row r="19" ht="12.75" customHeight="1">
      <c r="A19" s="25" t="s">
        <v>52</v>
      </c>
      <c r="B19" s="25" t="s">
        <v>53</v>
      </c>
      <c r="C19" s="30" t="s">
        <v>54</v>
      </c>
      <c r="D19" s="27">
        <v>54550.0</v>
      </c>
      <c r="E19" s="28">
        <f t="shared" si="2"/>
        <v>2.695805362</v>
      </c>
      <c r="F19" s="27">
        <v>147056.1825</v>
      </c>
      <c r="G19" s="28">
        <v>11.04</v>
      </c>
    </row>
    <row r="20" ht="12.75" customHeight="1">
      <c r="A20" s="25" t="s">
        <v>55</v>
      </c>
      <c r="B20" s="25" t="s">
        <v>56</v>
      </c>
      <c r="C20" s="30" t="s">
        <v>57</v>
      </c>
      <c r="D20" s="27">
        <v>52883.0</v>
      </c>
      <c r="E20" s="28">
        <f t="shared" si="2"/>
        <v>2.651192884</v>
      </c>
      <c r="F20" s="27">
        <v>140203.0333</v>
      </c>
      <c r="G20" s="29">
        <v>11.49</v>
      </c>
    </row>
    <row r="21" ht="12.75" customHeight="1">
      <c r="A21" s="25" t="s">
        <v>58</v>
      </c>
      <c r="B21" s="25" t="s">
        <v>59</v>
      </c>
      <c r="C21" s="30" t="s">
        <v>60</v>
      </c>
      <c r="D21" s="27">
        <v>33861.0</v>
      </c>
      <c r="E21" s="28">
        <f t="shared" si="2"/>
        <v>3.319047134</v>
      </c>
      <c r="F21" s="27">
        <v>112386.255</v>
      </c>
      <c r="G21" s="29">
        <v>12.99</v>
      </c>
    </row>
    <row r="22" ht="12.75" customHeight="1">
      <c r="A22" s="25" t="s">
        <v>61</v>
      </c>
      <c r="B22" s="25" t="s">
        <v>62</v>
      </c>
      <c r="C22" s="30" t="s">
        <v>60</v>
      </c>
      <c r="D22" s="27">
        <v>34601.0</v>
      </c>
      <c r="E22" s="28">
        <f t="shared" si="2"/>
        <v>2.710765537</v>
      </c>
      <c r="F22" s="27">
        <v>93795.19833</v>
      </c>
      <c r="G22" s="28">
        <v>12.11</v>
      </c>
    </row>
    <row r="23" ht="12.75" customHeight="1">
      <c r="A23" s="25" t="s">
        <v>63</v>
      </c>
      <c r="B23" s="25" t="s">
        <v>64</v>
      </c>
      <c r="C23" s="30" t="s">
        <v>60</v>
      </c>
      <c r="D23" s="27">
        <v>96478.0</v>
      </c>
      <c r="E23" s="28">
        <f t="shared" si="2"/>
        <v>3.594173343</v>
      </c>
      <c r="F23" s="27">
        <v>346758.6558</v>
      </c>
      <c r="G23" s="28">
        <v>12.01</v>
      </c>
    </row>
    <row r="24" ht="12.75" customHeight="1">
      <c r="A24" s="25" t="s">
        <v>65</v>
      </c>
      <c r="B24" s="25" t="s">
        <v>66</v>
      </c>
      <c r="C24" s="30" t="s">
        <v>60</v>
      </c>
      <c r="D24" s="27">
        <v>111574.0</v>
      </c>
      <c r="E24" s="28">
        <f t="shared" si="2"/>
        <v>2.640893517</v>
      </c>
      <c r="F24" s="27">
        <v>294655.0533</v>
      </c>
      <c r="G24" s="28">
        <v>11.6</v>
      </c>
    </row>
    <row r="25" ht="12.75" customHeight="1">
      <c r="A25" s="25" t="s">
        <v>67</v>
      </c>
      <c r="B25" s="25" t="s">
        <v>68</v>
      </c>
      <c r="C25" s="30" t="s">
        <v>60</v>
      </c>
      <c r="D25" s="27">
        <v>50886.0</v>
      </c>
      <c r="E25" s="28">
        <f t="shared" si="2"/>
        <v>3.491464843</v>
      </c>
      <c r="F25" s="27">
        <v>177666.68</v>
      </c>
      <c r="G25" s="28">
        <v>12.35</v>
      </c>
    </row>
    <row r="26" ht="12.75" customHeight="1">
      <c r="A26" s="25" t="s">
        <v>69</v>
      </c>
      <c r="B26" s="25" t="s">
        <v>70</v>
      </c>
      <c r="C26" s="30" t="s">
        <v>60</v>
      </c>
      <c r="D26" s="27">
        <v>66325.0</v>
      </c>
      <c r="E26" s="28">
        <f t="shared" si="2"/>
        <v>2.675820078</v>
      </c>
      <c r="F26" s="27">
        <v>177473.7667</v>
      </c>
      <c r="G26" s="29">
        <v>11.77</v>
      </c>
    </row>
    <row r="27" ht="12.75" customHeight="1">
      <c r="A27" s="25" t="s">
        <v>71</v>
      </c>
      <c r="B27" s="25" t="s">
        <v>72</v>
      </c>
      <c r="C27" s="30" t="s">
        <v>73</v>
      </c>
      <c r="D27" s="27">
        <v>25434.0</v>
      </c>
      <c r="E27" s="28">
        <f t="shared" si="2"/>
        <v>3.612085135</v>
      </c>
      <c r="F27" s="27">
        <v>91869.77333</v>
      </c>
      <c r="G27" s="29">
        <v>9.13</v>
      </c>
    </row>
    <row r="28" ht="12.75" customHeight="1">
      <c r="A28" s="25" t="s">
        <v>74</v>
      </c>
      <c r="B28" s="25" t="s">
        <v>75</v>
      </c>
      <c r="C28" s="30" t="s">
        <v>73</v>
      </c>
      <c r="D28" s="27">
        <v>46137.0</v>
      </c>
      <c r="E28" s="28">
        <f t="shared" si="2"/>
        <v>3.948905343</v>
      </c>
      <c r="F28" s="27">
        <v>182190.6458</v>
      </c>
      <c r="G28" s="28">
        <v>12.14</v>
      </c>
    </row>
    <row r="29" ht="12.75" customHeight="1">
      <c r="A29" s="25" t="s">
        <v>76</v>
      </c>
      <c r="B29" s="25" t="s">
        <v>77</v>
      </c>
      <c r="C29" s="30" t="s">
        <v>73</v>
      </c>
      <c r="D29" s="27">
        <v>127566.0</v>
      </c>
      <c r="E29" s="28">
        <f t="shared" si="2"/>
        <v>2.340042272</v>
      </c>
      <c r="F29" s="27">
        <v>298509.8325</v>
      </c>
      <c r="G29" s="28">
        <v>13.54</v>
      </c>
    </row>
    <row r="30" ht="12.75" customHeight="1">
      <c r="A30" s="25" t="s">
        <v>78</v>
      </c>
      <c r="B30" s="25" t="s">
        <v>79</v>
      </c>
      <c r="C30" s="30" t="s">
        <v>73</v>
      </c>
      <c r="D30" s="27">
        <v>61939.0</v>
      </c>
      <c r="E30" s="28">
        <f t="shared" si="2"/>
        <v>2.362267379</v>
      </c>
      <c r="F30" s="27">
        <v>146316.4792</v>
      </c>
      <c r="G30" s="29">
        <v>12.18</v>
      </c>
    </row>
    <row r="31" ht="12.75" customHeight="1">
      <c r="A31" s="25" t="s">
        <v>80</v>
      </c>
      <c r="B31" s="25" t="s">
        <v>81</v>
      </c>
      <c r="C31" s="30" t="s">
        <v>82</v>
      </c>
      <c r="D31" s="27">
        <v>54513.0</v>
      </c>
      <c r="E31" s="28">
        <f t="shared" si="2"/>
        <v>3.339990263</v>
      </c>
      <c r="F31" s="27">
        <v>182072.8892</v>
      </c>
      <c r="G31" s="28">
        <v>11.63</v>
      </c>
    </row>
    <row r="32" ht="12.75" customHeight="1">
      <c r="A32" s="25" t="s">
        <v>83</v>
      </c>
      <c r="B32" s="25" t="s">
        <v>84</v>
      </c>
      <c r="C32" s="30" t="s">
        <v>85</v>
      </c>
      <c r="D32" s="27">
        <v>34444.0</v>
      </c>
      <c r="E32" s="28">
        <f t="shared" si="2"/>
        <v>2.248994576</v>
      </c>
      <c r="F32" s="27">
        <v>77464.36917</v>
      </c>
      <c r="G32" s="29">
        <v>12.1</v>
      </c>
    </row>
    <row r="33" ht="12.75" customHeight="1">
      <c r="A33" s="25" t="s">
        <v>86</v>
      </c>
      <c r="B33" s="25" t="s">
        <v>87</v>
      </c>
      <c r="C33" s="30" t="s">
        <v>88</v>
      </c>
      <c r="D33" s="27">
        <v>56305.0</v>
      </c>
      <c r="E33" s="28">
        <f t="shared" si="2"/>
        <v>3.75283351</v>
      </c>
      <c r="F33" s="27">
        <v>211303.2908</v>
      </c>
      <c r="G33" s="28">
        <v>11.21</v>
      </c>
    </row>
    <row r="34" ht="12.75" customHeight="1">
      <c r="A34" s="25" t="s">
        <v>89</v>
      </c>
      <c r="B34" s="25" t="s">
        <v>90</v>
      </c>
      <c r="C34" s="30" t="s">
        <v>88</v>
      </c>
      <c r="D34" s="27">
        <v>25948.0</v>
      </c>
      <c r="E34" s="28">
        <f t="shared" si="2"/>
        <v>2.579435474</v>
      </c>
      <c r="F34" s="27">
        <v>66931.19167</v>
      </c>
      <c r="G34" s="29">
        <v>11.93</v>
      </c>
    </row>
    <row r="35" ht="12.75" customHeight="1">
      <c r="A35" s="25" t="s">
        <v>91</v>
      </c>
      <c r="B35" s="25" t="s">
        <v>92</v>
      </c>
      <c r="C35" s="30" t="s">
        <v>88</v>
      </c>
      <c r="D35" s="27">
        <v>33997.0</v>
      </c>
      <c r="E35" s="28">
        <f t="shared" si="2"/>
        <v>2.557934646</v>
      </c>
      <c r="F35" s="27">
        <v>86962.10417</v>
      </c>
      <c r="G35" s="29">
        <v>10.54</v>
      </c>
    </row>
    <row r="36" ht="12.75" customHeight="1">
      <c r="A36" s="25" t="s">
        <v>93</v>
      </c>
      <c r="B36" s="25" t="s">
        <v>94</v>
      </c>
      <c r="C36" s="30" t="s">
        <v>88</v>
      </c>
      <c r="D36" s="27">
        <v>91104.0</v>
      </c>
      <c r="E36" s="28">
        <f t="shared" si="2"/>
        <v>3.380960724</v>
      </c>
      <c r="F36" s="27">
        <v>308019.0458</v>
      </c>
      <c r="G36" s="29">
        <v>11.02</v>
      </c>
    </row>
    <row r="37" ht="12.75" customHeight="1">
      <c r="A37" s="25" t="s">
        <v>95</v>
      </c>
      <c r="B37" s="25" t="s">
        <v>96</v>
      </c>
      <c r="C37" s="30" t="s">
        <v>97</v>
      </c>
      <c r="D37" s="27">
        <v>38137.0</v>
      </c>
      <c r="E37" s="28">
        <f t="shared" si="2"/>
        <v>2.615937323</v>
      </c>
      <c r="F37" s="27">
        <v>99764.00167</v>
      </c>
      <c r="G37" s="28">
        <v>10.93</v>
      </c>
    </row>
    <row r="38" ht="12.75" customHeight="1">
      <c r="A38" s="25" t="s">
        <v>98</v>
      </c>
      <c r="B38" s="25" t="s">
        <v>99</v>
      </c>
      <c r="C38" s="30" t="s">
        <v>100</v>
      </c>
      <c r="D38" s="27">
        <v>71126.0</v>
      </c>
      <c r="E38" s="28">
        <f t="shared" si="2"/>
        <v>2.757203414</v>
      </c>
      <c r="F38" s="27">
        <v>196108.85</v>
      </c>
      <c r="G38" s="28">
        <v>11.08</v>
      </c>
    </row>
    <row r="39" ht="12.75" customHeight="1">
      <c r="A39" s="25" t="s">
        <v>101</v>
      </c>
      <c r="B39" s="25" t="s">
        <v>102</v>
      </c>
      <c r="C39" s="30" t="s">
        <v>103</v>
      </c>
      <c r="D39" s="27">
        <v>31029.0</v>
      </c>
      <c r="E39" s="28">
        <f t="shared" si="2"/>
        <v>3.111233121</v>
      </c>
      <c r="F39" s="27">
        <v>96538.4525</v>
      </c>
      <c r="G39" s="28">
        <v>11.77</v>
      </c>
    </row>
    <row r="40" ht="12.75" customHeight="1">
      <c r="A40" s="25" t="s">
        <v>104</v>
      </c>
      <c r="B40" s="25" t="s">
        <v>105</v>
      </c>
      <c r="C40" s="30" t="s">
        <v>103</v>
      </c>
      <c r="D40" s="27">
        <v>61854.0</v>
      </c>
      <c r="E40" s="28">
        <f t="shared" si="2"/>
        <v>5.556037375</v>
      </c>
      <c r="F40" s="27">
        <v>343663.1358</v>
      </c>
      <c r="G40" s="28">
        <v>13.17</v>
      </c>
    </row>
    <row r="41" ht="12.75" customHeight="1">
      <c r="A41" s="25" t="s">
        <v>106</v>
      </c>
      <c r="B41" s="25" t="s">
        <v>107</v>
      </c>
      <c r="C41" s="30" t="s">
        <v>108</v>
      </c>
      <c r="D41" s="27">
        <v>29296.0</v>
      </c>
      <c r="E41" s="28">
        <f t="shared" si="2"/>
        <v>2.57727221</v>
      </c>
      <c r="F41" s="27">
        <v>75503.76667</v>
      </c>
      <c r="G41" s="29">
        <v>10.55</v>
      </c>
    </row>
    <row r="42" ht="12.75" customHeight="1">
      <c r="A42" s="25" t="s">
        <v>109</v>
      </c>
      <c r="B42" s="25" t="s">
        <v>110</v>
      </c>
      <c r="C42" s="30" t="s">
        <v>111</v>
      </c>
      <c r="D42" s="27">
        <v>49676.0</v>
      </c>
      <c r="E42" s="28">
        <f t="shared" si="2"/>
        <v>3.364799501</v>
      </c>
      <c r="F42" s="27">
        <v>167149.78</v>
      </c>
      <c r="G42" s="29">
        <v>12.13</v>
      </c>
    </row>
    <row r="43" ht="12.75" customHeight="1">
      <c r="A43" s="25" t="s">
        <v>112</v>
      </c>
      <c r="B43" s="25" t="s">
        <v>113</v>
      </c>
      <c r="C43" s="30" t="s">
        <v>111</v>
      </c>
      <c r="D43" s="27">
        <v>76559.0</v>
      </c>
      <c r="E43" s="28">
        <f t="shared" si="2"/>
        <v>3.421823996</v>
      </c>
      <c r="F43" s="27">
        <v>261971.4233</v>
      </c>
      <c r="G43" s="29">
        <v>12.11</v>
      </c>
    </row>
    <row r="44" ht="12.75" customHeight="1">
      <c r="A44" s="25"/>
      <c r="B44" s="25"/>
      <c r="C44" s="30"/>
      <c r="D44" s="31"/>
      <c r="E44" s="32"/>
      <c r="F44" s="31"/>
      <c r="G44" s="32"/>
    </row>
    <row r="45" ht="12.75" customHeight="1">
      <c r="A45" s="25"/>
      <c r="B45" s="25"/>
      <c r="C45" s="30"/>
      <c r="D45" s="31"/>
      <c r="E45" s="32"/>
      <c r="F45" s="31"/>
      <c r="G45" s="32"/>
    </row>
    <row r="46" ht="12.75" customHeight="1">
      <c r="A46" s="25"/>
      <c r="B46" s="25"/>
      <c r="C46" s="30"/>
      <c r="D46" s="31"/>
      <c r="E46" s="32"/>
      <c r="F46" s="31"/>
      <c r="G46" s="33"/>
    </row>
    <row r="47" ht="12.75" customHeight="1">
      <c r="A47" s="25"/>
      <c r="B47" s="25"/>
      <c r="C47" s="30"/>
      <c r="D47" s="31"/>
      <c r="E47" s="32"/>
      <c r="F47" s="31"/>
      <c r="G47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4" t="s">
        <v>114</v>
      </c>
      <c r="B1" s="35" t="s">
        <v>115</v>
      </c>
      <c r="C1" s="35" t="s">
        <v>116</v>
      </c>
      <c r="D1" s="34" t="s">
        <v>117</v>
      </c>
    </row>
    <row r="2" ht="12.75" customHeight="1">
      <c r="A2" s="36">
        <v>45364.0</v>
      </c>
      <c r="B2" s="26" t="s">
        <v>118</v>
      </c>
      <c r="C2" s="37">
        <v>2023.0</v>
      </c>
      <c r="D2" s="26" t="s">
        <v>119</v>
      </c>
    </row>
    <row r="3" ht="12.75" customHeight="1">
      <c r="A3" s="38"/>
      <c r="B3" s="39"/>
      <c r="C3" s="40"/>
      <c r="D3" s="39"/>
    </row>
    <row r="4" ht="12.75" customHeight="1">
      <c r="A4" s="41"/>
      <c r="B4" s="42"/>
      <c r="C4" s="43"/>
      <c r="D4" s="26" t="s">
        <v>120</v>
      </c>
    </row>
    <row r="5" ht="12.75" customHeight="1">
      <c r="A5" s="44"/>
      <c r="B5" s="42"/>
      <c r="C5" s="43"/>
      <c r="D5" s="45"/>
    </row>
  </sheetData>
  <drawing r:id="rId1"/>
</worksheet>
</file>