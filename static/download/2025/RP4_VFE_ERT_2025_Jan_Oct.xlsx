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VFE_SES" sheetId="1" r:id="rId3"/>
    <sheet state="visible" name="ERT_VFE_FAB" sheetId="2" r:id="rId4"/>
    <sheet state="visible" name="ERT_VFE_LOC" sheetId="3" r:id="rId5"/>
    <sheet state="visible" name="Change Log" sheetId="4" r:id="rId6"/>
  </sheets>
  <definedNames/>
  <calcPr/>
</workbook>
</file>

<file path=xl/sharedStrings.xml><?xml version="1.0" encoding="utf-8"?>
<sst xmlns="http://schemas.openxmlformats.org/spreadsheetml/2006/main" count="115" uniqueCount="65">
  <si>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</si>
  <si>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</si>
  <si>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</si>
  <si>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</si>
  <si>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</si>
  <si>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</si>
  <si>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</si>
  <si>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</si>
  <si>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</si>
  <si>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</si>
  <si>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Vertical en-route flight efficiency</t>
  </si>
  <si>
    <t>Entity</t>
  </si>
  <si>
    <t>Year</t>
  </si>
  <si>
    <t>Total distance (km)</t>
  </si>
  <si>
    <t>Distance flown at altitudes ≥ Requested FL - 1000 ft</t>
  </si>
  <si>
    <t>Indicator (%)</t>
  </si>
  <si>
    <t>SES AREA (RP4)</t>
  </si>
  <si>
    <t>2025</t>
  </si>
  <si>
    <t>2026</t>
  </si>
  <si>
    <t>2027</t>
  </si>
  <si>
    <t>2028</t>
  </si>
  <si>
    <t>2029</t>
  </si>
  <si>
    <t xml:space="preserve">EUROCONTROL </t>
  </si>
  <si>
    <t>FAB level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</si>
  <si>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</si>
  <si>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</si>
  <si>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</si>
  <si>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</si>
  <si>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</si>
  <si>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</si>
  <si>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</si>
  <si>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</si>
  <si>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</si>
  <si>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</si>
  <si>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</si>
  <si>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</si>
  <si>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</si>
  <si>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</si>
  <si>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</si>
  <si>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</si>
  <si>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</si>
  <si>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</si>
  <si>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</si>
  <si>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</si>
  <si>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</si>
  <si>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</si>
  <si>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</si>
  <si>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</si>
  <si>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</si>
  <si>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</si>
  <si>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</si>
  <si>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</si>
  <si>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</si>
  <si>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 Continental</t>
  </si>
  <si>
    <t>Poland</t>
  </si>
  <si>
    <t>Portugal Continental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</si>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</sst>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/d/yyyy"/>
    <numFmt numFmtId="166" formatCode="d mmm yyyy"/>
    <numFmt numFmtId="167" formatCode="d mmm. yyyy"/>
    <numFmt numFmtId="168" formatCode="0.0%"/>
    <numFmt numFmtId="169" formatCode="mmm 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b/>
      <sz val="9.0"/>
      <color rgb="FF396EA2"/>
      <name val="Arial"/>
    </font>
    <font>
      <b/>
      <sz val="10.0"/>
      <color rgb="FF396EA2"/>
      <name val="Calibri"/>
    </font>
    <font>
      <u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9.0"/>
      <color rgb="FF000000"/>
      <name val="Arial"/>
    </font>
    <font>
      <sz val="9.0"/>
      <color rgb="FFFFFFFF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13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3" fontId="6" numFmtId="0" xfId="0" applyAlignment="1" applyBorder="1" applyFont="1">
      <alignment horizontal="center" readingOrder="0" shrinkToFit="0" vertical="center" wrapText="0"/>
    </xf>
    <xf borderId="8" fillId="4" fontId="8" numFmtId="0" xfId="0" applyAlignment="1" applyBorder="1" applyFill="1" applyFont="1">
      <alignment horizontal="center" shrinkToFit="0" vertical="center" wrapText="1"/>
    </xf>
    <xf borderId="8" fillId="4" fontId="8" numFmtId="49" xfId="0" applyAlignment="1" applyBorder="1" applyFont="1" applyNumberFormat="1">
      <alignment horizontal="center" shrinkToFit="0" vertical="center" wrapText="1"/>
    </xf>
    <xf borderId="8" fillId="4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6" numFmtId="3" xfId="0" applyAlignment="1" applyFont="1" applyNumberFormat="1">
      <alignment readingOrder="0" shrinkToFit="0" wrapText="1"/>
    </xf>
    <xf borderId="0" fillId="0" fontId="6" numFmtId="168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9" numFmtId="0" xfId="0" applyAlignment="1" applyBorder="1" applyFont="1">
      <alignment readingOrder="0" shrinkToFit="0" wrapText="0"/>
    </xf>
    <xf borderId="1" fillId="2" fontId="10" numFmtId="0" xfId="0" applyAlignment="1" applyBorder="1" applyFont="1">
      <alignment horizontal="left" shrinkToFit="0" wrapText="0"/>
    </xf>
    <xf borderId="3" fillId="2" fontId="1" numFmtId="0" xfId="0" applyAlignment="1" applyBorder="1" applyFont="1">
      <alignment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2" fontId="10" numFmtId="0" xfId="0" applyAlignment="1" applyBorder="1" applyFont="1">
      <alignment horizontal="left" shrinkToFit="0" wrapText="0"/>
    </xf>
    <xf borderId="3" fillId="3" fontId="11" numFmtId="0" xfId="0" applyAlignment="1" applyBorder="1" applyFont="1">
      <alignment horizontal="left" readingOrder="0" shrinkToFit="0" wrapText="0"/>
    </xf>
    <xf borderId="5" fillId="3" fontId="0" numFmtId="0" xfId="0" applyAlignment="1" applyBorder="1" applyFont="1">
      <alignment shrinkToFit="0" wrapText="1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12" numFmtId="0" xfId="0" applyAlignment="1" applyBorder="1" applyFont="1">
      <alignment readingOrder="0" shrinkToFit="0" wrapText="0"/>
    </xf>
    <xf borderId="5" fillId="3" fontId="13" numFmtId="0" xfId="0" applyAlignment="1" applyBorder="1" applyFont="1">
      <alignment horizontal="center" readingOrder="0" shrinkToFit="0" wrapText="1"/>
    </xf>
    <xf borderId="8" fillId="4" fontId="14" numFmtId="0" xfId="0" applyAlignment="1" applyBorder="1" applyFont="1">
      <alignment horizontal="center" readingOrder="0" shrinkToFit="0" vertical="center" wrapText="1"/>
    </xf>
    <xf borderId="8" fillId="5" fontId="6" numFmtId="0" xfId="0" applyAlignment="1" applyBorder="1" applyFill="1" applyFont="1">
      <alignment readingOrder="0" shrinkToFit="0" vertical="center" wrapText="0"/>
    </xf>
    <xf borderId="8" fillId="5" fontId="15" numFmtId="3" xfId="0" applyAlignment="1" applyBorder="1" applyFont="1" applyNumberFormat="1">
      <alignment horizontal="center" readingOrder="0" shrinkToFit="0" vertical="center" wrapText="0"/>
    </xf>
    <xf borderId="8" fillId="5" fontId="6" numFmtId="168" xfId="0" applyAlignment="1" applyBorder="1" applyFont="1" applyNumberFormat="1">
      <alignment horizontal="center" readingOrder="0" shrinkToFit="0" vertical="center" wrapText="0"/>
    </xf>
    <xf borderId="8" fillId="5" fontId="6" numFmtId="3" xfId="0" applyAlignment="1" applyBorder="1" applyFont="1" applyNumberFormat="1">
      <alignment horizontal="center"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1" fillId="3" fontId="0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vertical="center" wrapText="0"/>
    </xf>
    <xf borderId="8" fillId="3" fontId="6" numFmtId="3" xfId="0" applyAlignment="1" applyBorder="1" applyFont="1" applyNumberFormat="1">
      <alignment horizontal="right" readingOrder="0" shrinkToFit="0" vertical="center" wrapText="0"/>
    </xf>
    <xf borderId="8" fillId="3" fontId="15" numFmtId="168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8" fillId="3" fontId="15" numFmtId="3" xfId="0" applyAlignment="1" applyBorder="1" applyFont="1" applyNumberFormat="1">
      <alignment horizontal="right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6" fontId="16" numFmtId="0" xfId="0" applyAlignment="1" applyFill="1" applyFont="1">
      <alignment shrinkToFit="0" wrapText="0"/>
    </xf>
    <xf borderId="0" fillId="6" fontId="16" numFmtId="0" xfId="0" applyAlignment="1" applyFont="1">
      <alignment horizontal="center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17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17" numFmtId="164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5.25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45658.0</v>
      </c>
      <c r="E1" s="1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  <c r="G1" s="5"/>
    </row>
    <row r="2" ht="12.0" customHeight="1">
      <c r="A2" s="6" t="s">
        <v>4</v>
      </c>
      <c r="B2" s="7">
        <v>45979.0</v>
      </c>
      <c r="C2" s="8" t="s">
        <v>5</v>
      </c>
      <c r="D2" s="9">
        <v>45961.0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8</v>
      </c>
      <c r="F3" s="14" t="s">
        <v>9</v>
      </c>
      <c r="G3" s="14" t="s">
        <v>9</v>
      </c>
    </row>
    <row r="4" ht="13.5" customHeight="1">
      <c r="A4" s="15" t="s">
        <v>10</v>
      </c>
      <c r="B4" s="16"/>
      <c r="C4" s="17"/>
      <c r="D4" s="18"/>
      <c r="E4" s="18"/>
      <c r="F4" s="14" t="s">
        <v>8</v>
      </c>
      <c r="G4" s="14" t="s">
        <v>8</v>
      </c>
    </row>
    <row r="5" ht="38.25" customHeight="1">
      <c r="A5" s="19" t="s">
        <v>11</v>
      </c>
      <c r="B5" s="20" t="s">
        <v>12</v>
      </c>
      <c r="C5" s="21" t="s">
        <v>13</v>
      </c>
      <c r="D5" s="21" t="s">
        <v>14</v>
      </c>
      <c r="E5" s="21" t="s">
        <v>15</v>
      </c>
      <c r="F5" s="14" t="s">
        <v>8</v>
      </c>
      <c r="G5" s="14" t="s">
        <v>9</v>
      </c>
    </row>
    <row r="6" ht="12.75" customHeight="1">
      <c r="A6" s="22" t="s">
        <v>16</v>
      </c>
      <c r="B6" s="23" t="s">
        <v>17</v>
      </c>
      <c r="C6" s="24">
        <v>6.548317089E9</v>
      </c>
      <c r="D6" s="24">
        <v>5.003551924E9</v>
      </c>
      <c r="E6" s="25">
        <f>D6/C6</f>
        <v>0.7640973789</v>
      </c>
      <c r="F6" s="14" t="s">
        <v>8</v>
      </c>
      <c r="G6" s="14" t="s">
        <v>9</v>
      </c>
    </row>
    <row r="7" ht="12.75" customHeight="1">
      <c r="A7" s="22" t="s">
        <v>16</v>
      </c>
      <c r="B7" s="23" t="s">
        <v>18</v>
      </c>
      <c r="C7" s="26"/>
      <c r="D7" s="26"/>
      <c r="E7" s="26"/>
      <c r="F7" s="14" t="s">
        <v>8</v>
      </c>
      <c r="G7" s="14" t="s">
        <v>9</v>
      </c>
    </row>
    <row r="8" ht="12.75" customHeight="1">
      <c r="A8" s="22" t="s">
        <v>16</v>
      </c>
      <c r="B8" s="23" t="s">
        <v>19</v>
      </c>
      <c r="C8" s="26"/>
      <c r="D8" s="26"/>
      <c r="E8" s="26"/>
      <c r="F8" s="14" t="s">
        <v>8</v>
      </c>
      <c r="G8" s="14" t="s">
        <v>9</v>
      </c>
    </row>
    <row r="9" ht="12.75" customHeight="1">
      <c r="A9" s="22" t="s">
        <v>16</v>
      </c>
      <c r="B9" s="23" t="s">
        <v>20</v>
      </c>
      <c r="C9" s="26"/>
      <c r="D9" s="26"/>
      <c r="E9" s="26"/>
      <c r="F9" s="14" t="s">
        <v>8</v>
      </c>
      <c r="G9" s="14" t="s">
        <v>9</v>
      </c>
    </row>
    <row r="10" ht="12.75" customHeight="1">
      <c r="A10" s="22" t="s">
        <v>16</v>
      </c>
      <c r="B10" s="23" t="s">
        <v>21</v>
      </c>
      <c r="C10" s="26"/>
      <c r="D10" s="26"/>
      <c r="E10" s="26"/>
      <c r="F10" s="14" t="s">
        <v>8</v>
      </c>
      <c r="G10" s="14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5.5"/>
    <col customWidth="1" min="4" max="4" width="10.25"/>
    <col customWidth="1" min="5" max="5" width="10.75"/>
    <col customWidth="1" min="6" max="6" width="9.75"/>
  </cols>
  <sheetData>
    <row r="1" ht="12.75" customHeight="1">
      <c r="A1" s="27" t="s">
        <v>0</v>
      </c>
      <c r="B1" s="28" t="s">
        <v>22</v>
      </c>
      <c r="C1" s="29" t="s">
        <v>8</v>
      </c>
      <c r="D1" s="3">
        <f>ERT_VFE_SES!D1</f>
        <v>45658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45979</v>
      </c>
      <c r="C2" s="8" t="s">
        <v>5</v>
      </c>
      <c r="D2" s="9">
        <f>ERT_VFE_SES!D2</f>
        <v>45961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35"/>
      <c r="F3" s="37"/>
    </row>
    <row r="4" ht="13.5" customHeight="1">
      <c r="A4" s="38" t="s">
        <v>8</v>
      </c>
      <c r="B4" s="39" t="s">
        <v>8</v>
      </c>
      <c r="C4" s="35"/>
      <c r="D4" s="35"/>
      <c r="E4" s="35"/>
      <c r="F4" s="37"/>
    </row>
    <row r="5" ht="25.5" customHeight="1">
      <c r="A5" s="40" t="s">
        <v>23</v>
      </c>
      <c r="B5" s="21" t="s">
        <v>13</v>
      </c>
      <c r="C5" s="21" t="s">
        <v>14</v>
      </c>
      <c r="D5" s="21" t="s">
        <v>15</v>
      </c>
      <c r="E5" s="35"/>
      <c r="F5" s="37"/>
    </row>
    <row r="6" ht="12.75" customHeight="1">
      <c r="A6" s="41" t="s">
        <v>16</v>
      </c>
      <c r="B6" s="42">
        <v>6.548317089E9</v>
      </c>
      <c r="C6" s="42">
        <v>5.003551924E9</v>
      </c>
      <c r="D6" s="43">
        <f t="shared" ref="D6:D15" si="1">C6/B6</f>
        <v>0.7640973789</v>
      </c>
      <c r="E6" s="35"/>
      <c r="F6" s="37"/>
    </row>
    <row r="7" ht="12.75" customHeight="1">
      <c r="A7" s="41" t="s">
        <v>24</v>
      </c>
      <c r="B7" s="42">
        <v>2.06010875E8</v>
      </c>
      <c r="C7" s="42">
        <v>1.52615179E8</v>
      </c>
      <c r="D7" s="43">
        <f t="shared" si="1"/>
        <v>0.7408112751</v>
      </c>
      <c r="E7" s="35"/>
      <c r="F7" s="37"/>
    </row>
    <row r="8" ht="12.75" customHeight="1">
      <c r="A8" s="41" t="s">
        <v>25</v>
      </c>
      <c r="B8" s="42">
        <v>1.19936942E9</v>
      </c>
      <c r="C8" s="42">
        <v>8.7230857E8</v>
      </c>
      <c r="D8" s="43">
        <f t="shared" si="1"/>
        <v>0.7273059955</v>
      </c>
      <c r="E8" s="35"/>
      <c r="F8" s="37"/>
    </row>
    <row r="9" ht="12.75" customHeight="1">
      <c r="A9" s="41" t="s">
        <v>26</v>
      </c>
      <c r="B9" s="42">
        <v>5.47162017E8</v>
      </c>
      <c r="C9" s="42">
        <v>4.22232983E8</v>
      </c>
      <c r="D9" s="43">
        <f t="shared" si="1"/>
        <v>0.7716781682</v>
      </c>
      <c r="E9" s="35"/>
      <c r="F9" s="37"/>
    </row>
    <row r="10" ht="12.75" customHeight="1">
      <c r="A10" s="41" t="s">
        <v>27</v>
      </c>
      <c r="B10" s="42">
        <v>1.96315933E8</v>
      </c>
      <c r="C10" s="42">
        <v>1.52401109E8</v>
      </c>
      <c r="D10" s="43">
        <f t="shared" si="1"/>
        <v>0.7763053496</v>
      </c>
      <c r="E10" s="35"/>
      <c r="F10" s="37"/>
    </row>
    <row r="11" ht="12.75" customHeight="1">
      <c r="A11" s="41" t="s">
        <v>28</v>
      </c>
      <c r="B11" s="42">
        <v>7.9760646E8</v>
      </c>
      <c r="C11" s="42">
        <v>6.11133977E8</v>
      </c>
      <c r="D11" s="43">
        <f t="shared" si="1"/>
        <v>0.7662099138</v>
      </c>
      <c r="E11" s="35"/>
      <c r="F11" s="37"/>
    </row>
    <row r="12" ht="12.75" customHeight="1">
      <c r="A12" s="41" t="s">
        <v>29</v>
      </c>
      <c r="B12" s="42">
        <v>2.289704415E9</v>
      </c>
      <c r="C12" s="42">
        <v>1.798422819E9</v>
      </c>
      <c r="D12" s="43">
        <f t="shared" si="1"/>
        <v>0.7854388572</v>
      </c>
      <c r="E12" s="35"/>
      <c r="F12" s="37"/>
    </row>
    <row r="13" ht="12.75" customHeight="1">
      <c r="A13" s="41" t="s">
        <v>30</v>
      </c>
      <c r="B13" s="44">
        <v>1.79555836E8</v>
      </c>
      <c r="C13" s="44">
        <v>1.38466619E8</v>
      </c>
      <c r="D13" s="43">
        <f t="shared" si="1"/>
        <v>0.7711618964</v>
      </c>
      <c r="E13" s="35"/>
      <c r="F13" s="37"/>
    </row>
    <row r="14" ht="12.75" customHeight="1">
      <c r="A14" s="41" t="s">
        <v>31</v>
      </c>
      <c r="B14" s="44">
        <v>1.015562229E9</v>
      </c>
      <c r="C14" s="44">
        <v>7.61283165E8</v>
      </c>
      <c r="D14" s="43">
        <f t="shared" si="1"/>
        <v>0.7496174466</v>
      </c>
      <c r="E14" s="35"/>
      <c r="F14" s="37"/>
    </row>
    <row r="15" ht="12.75" customHeight="1">
      <c r="A15" s="41" t="s">
        <v>32</v>
      </c>
      <c r="B15" s="42">
        <v>5.37185782E8</v>
      </c>
      <c r="C15" s="42">
        <v>4.29922099E8</v>
      </c>
      <c r="D15" s="43">
        <f t="shared" si="1"/>
        <v>0.80032293</v>
      </c>
      <c r="E15" s="35"/>
      <c r="F15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7.88"/>
    <col customWidth="1" min="4" max="4" width="10.25"/>
    <col customWidth="1" min="5" max="5" width="10.75"/>
    <col customWidth="1" min="6" max="6" width="9.63"/>
  </cols>
  <sheetData>
    <row r="1" ht="12.75" customHeight="1">
      <c r="A1" s="27" t="s">
        <v>0</v>
      </c>
      <c r="B1" s="28" t="s">
        <v>22</v>
      </c>
      <c r="C1" s="29" t="s">
        <v>8</v>
      </c>
      <c r="D1" s="3">
        <f>ERT_VFE_SES!D1</f>
        <v>45658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45979</v>
      </c>
      <c r="C2" s="8" t="s">
        <v>5</v>
      </c>
      <c r="D2" s="9">
        <f>ERT_VFE_SES!D2</f>
        <v>45961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45" t="s">
        <v>9</v>
      </c>
      <c r="F3" s="45" t="s">
        <v>8</v>
      </c>
    </row>
    <row r="4" ht="13.5" customHeight="1">
      <c r="A4" s="39" t="s">
        <v>8</v>
      </c>
      <c r="B4" s="39" t="s">
        <v>8</v>
      </c>
      <c r="C4" s="35"/>
      <c r="D4" s="35"/>
      <c r="E4" s="35"/>
      <c r="F4" s="46"/>
    </row>
    <row r="5" ht="25.5" customHeight="1">
      <c r="A5" s="40" t="s">
        <v>33</v>
      </c>
      <c r="B5" s="21" t="s">
        <v>13</v>
      </c>
      <c r="C5" s="21" t="s">
        <v>14</v>
      </c>
      <c r="D5" s="21" t="s">
        <v>15</v>
      </c>
      <c r="E5" s="46"/>
      <c r="F5" s="46"/>
    </row>
    <row r="6" ht="12.75" customHeight="1">
      <c r="A6" s="47" t="s">
        <v>34</v>
      </c>
      <c r="B6" s="48">
        <v>2.07371725E8</v>
      </c>
      <c r="C6" s="48">
        <v>1.59481021E8</v>
      </c>
      <c r="D6" s="49">
        <f t="shared" ref="D6:D33" si="1">C6/B6</f>
        <v>0.7690586602</v>
      </c>
      <c r="E6" s="46"/>
      <c r="F6" s="46"/>
    </row>
    <row r="7" ht="12.75" customHeight="1">
      <c r="A7" s="50" t="s">
        <v>35</v>
      </c>
      <c r="B7" s="51">
        <v>1.01716313E8</v>
      </c>
      <c r="C7" s="51">
        <v>7.7134068E7</v>
      </c>
      <c r="D7" s="49">
        <f t="shared" si="1"/>
        <v>0.7583254419</v>
      </c>
      <c r="E7" s="46"/>
      <c r="F7" s="46"/>
    </row>
    <row r="8" ht="12.75" customHeight="1">
      <c r="A8" s="50" t="s">
        <v>36</v>
      </c>
      <c r="B8" s="51">
        <v>2.41722549E8</v>
      </c>
      <c r="C8" s="51">
        <v>1.84716885E8</v>
      </c>
      <c r="D8" s="49">
        <f t="shared" si="1"/>
        <v>0.7641690267</v>
      </c>
      <c r="E8" s="46"/>
      <c r="F8" s="46"/>
    </row>
    <row r="9" ht="12.75" customHeight="1">
      <c r="A9" s="50" t="s">
        <v>37</v>
      </c>
      <c r="B9" s="51">
        <v>1.80140366E8</v>
      </c>
      <c r="C9" s="51">
        <v>1.34558631E8</v>
      </c>
      <c r="D9" s="49">
        <f t="shared" si="1"/>
        <v>0.746965458</v>
      </c>
      <c r="E9" s="46"/>
      <c r="F9" s="46"/>
    </row>
    <row r="10" ht="12.75" customHeight="1">
      <c r="A10" s="50" t="s">
        <v>38</v>
      </c>
      <c r="B10" s="51">
        <v>9.284514E7</v>
      </c>
      <c r="C10" s="51">
        <v>6.1735348E7</v>
      </c>
      <c r="D10" s="49">
        <f t="shared" si="1"/>
        <v>0.6649281589</v>
      </c>
      <c r="E10" s="46"/>
      <c r="F10" s="46"/>
    </row>
    <row r="11" ht="12.75" customHeight="1">
      <c r="A11" s="50" t="s">
        <v>39</v>
      </c>
      <c r="B11" s="51">
        <v>1.12603399E8</v>
      </c>
      <c r="C11" s="51">
        <v>8.7415473E7</v>
      </c>
      <c r="D11" s="49">
        <f t="shared" si="1"/>
        <v>0.7763129157</v>
      </c>
      <c r="E11" s="46"/>
      <c r="F11" s="46"/>
    </row>
    <row r="12" ht="12.75" customHeight="1">
      <c r="A12" s="50" t="s">
        <v>40</v>
      </c>
      <c r="B12" s="51">
        <v>6.9788639E7</v>
      </c>
      <c r="C12" s="51">
        <v>5.4669102E7</v>
      </c>
      <c r="D12" s="49">
        <f t="shared" si="1"/>
        <v>0.7833524594</v>
      </c>
      <c r="E12" s="46"/>
      <c r="F12" s="46"/>
    </row>
    <row r="13" ht="12.75" customHeight="1">
      <c r="A13" s="50" t="s">
        <v>41</v>
      </c>
      <c r="B13" s="48">
        <v>2.4232896E7</v>
      </c>
      <c r="C13" s="48">
        <v>1.8587759E7</v>
      </c>
      <c r="D13" s="49">
        <f t="shared" si="1"/>
        <v>0.7670465387</v>
      </c>
      <c r="E13" s="46"/>
      <c r="F13" s="46"/>
    </row>
    <row r="14" ht="12.75" customHeight="1">
      <c r="A14" s="50" t="s">
        <v>42</v>
      </c>
      <c r="B14" s="48">
        <v>2.3389508E7</v>
      </c>
      <c r="C14" s="48">
        <v>1.5931287E7</v>
      </c>
      <c r="D14" s="49">
        <f t="shared" si="1"/>
        <v>0.681129633</v>
      </c>
      <c r="E14" s="46"/>
      <c r="F14" s="46"/>
    </row>
    <row r="15" ht="12.75" customHeight="1">
      <c r="A15" s="50" t="s">
        <v>43</v>
      </c>
      <c r="B15" s="51">
        <v>1.330249859E9</v>
      </c>
      <c r="C15" s="51">
        <v>1.059543041E9</v>
      </c>
      <c r="D15" s="49">
        <f t="shared" si="1"/>
        <v>0.7964992695</v>
      </c>
      <c r="E15" s="46"/>
      <c r="F15" s="46"/>
    </row>
    <row r="16" ht="12.75" customHeight="1">
      <c r="A16" s="50" t="s">
        <v>44</v>
      </c>
      <c r="B16" s="51">
        <v>6.62371967E8</v>
      </c>
      <c r="C16" s="51">
        <v>5.11020208E8</v>
      </c>
      <c r="D16" s="49">
        <f t="shared" si="1"/>
        <v>0.7715003555</v>
      </c>
      <c r="E16" s="46"/>
      <c r="F16" s="46"/>
    </row>
    <row r="17" ht="12.75" customHeight="1">
      <c r="A17" s="50" t="s">
        <v>45</v>
      </c>
      <c r="B17" s="51">
        <v>4.30473682E8</v>
      </c>
      <c r="C17" s="51">
        <v>3.1070693E8</v>
      </c>
      <c r="D17" s="49">
        <f t="shared" si="1"/>
        <v>0.721779154</v>
      </c>
      <c r="E17" s="46"/>
      <c r="F17" s="46"/>
    </row>
    <row r="18" ht="12.75" customHeight="1">
      <c r="A18" s="50" t="s">
        <v>46</v>
      </c>
      <c r="B18" s="51">
        <v>1.95495515E8</v>
      </c>
      <c r="C18" s="51">
        <v>1.51075122E8</v>
      </c>
      <c r="D18" s="49">
        <f t="shared" si="1"/>
        <v>0.7727805009</v>
      </c>
      <c r="E18" s="46"/>
      <c r="F18" s="46"/>
    </row>
    <row r="19" ht="12.75" customHeight="1">
      <c r="A19" s="50" t="s">
        <v>47</v>
      </c>
      <c r="B19" s="51">
        <v>1.1703835E8</v>
      </c>
      <c r="C19" s="51">
        <v>9.469038E7</v>
      </c>
      <c r="D19" s="49">
        <f t="shared" si="1"/>
        <v>0.8090542972</v>
      </c>
      <c r="E19" s="46"/>
      <c r="F19" s="46"/>
    </row>
    <row r="20" ht="12.75" customHeight="1">
      <c r="A20" s="50" t="s">
        <v>48</v>
      </c>
      <c r="B20" s="51">
        <v>6.24237363E8</v>
      </c>
      <c r="C20" s="51">
        <v>4.58821893E8</v>
      </c>
      <c r="D20" s="49">
        <f t="shared" si="1"/>
        <v>0.7350119044</v>
      </c>
      <c r="E20" s="46"/>
      <c r="F20" s="46"/>
    </row>
    <row r="21" ht="12.75" customHeight="1">
      <c r="A21" s="50" t="s">
        <v>49</v>
      </c>
      <c r="B21" s="51">
        <v>2.6940415E7</v>
      </c>
      <c r="C21" s="51">
        <v>2.0559864E7</v>
      </c>
      <c r="D21" s="49">
        <f t="shared" si="1"/>
        <v>0.7631606269</v>
      </c>
      <c r="E21" s="46"/>
      <c r="F21" s="46"/>
    </row>
    <row r="22" ht="12.75" customHeight="1">
      <c r="A22" s="50" t="s">
        <v>50</v>
      </c>
      <c r="B22" s="51">
        <v>2.103854E7</v>
      </c>
      <c r="C22" s="51">
        <v>1.4688079E7</v>
      </c>
      <c r="D22" s="49">
        <f t="shared" si="1"/>
        <v>0.6981510599</v>
      </c>
      <c r="E22" s="46"/>
      <c r="F22" s="46"/>
    </row>
    <row r="23" ht="12.75" customHeight="1">
      <c r="A23" s="50" t="s">
        <v>51</v>
      </c>
      <c r="B23" s="51">
        <v>5.1815389E7</v>
      </c>
      <c r="C23" s="51">
        <v>4.1046443E7</v>
      </c>
      <c r="D23" s="49">
        <f t="shared" si="1"/>
        <v>0.7921670336</v>
      </c>
      <c r="E23" s="46"/>
      <c r="F23" s="46"/>
    </row>
    <row r="24" ht="12.75" customHeight="1">
      <c r="A24" s="50" t="s">
        <v>52</v>
      </c>
      <c r="B24" s="51">
        <v>1.0698811E8</v>
      </c>
      <c r="C24" s="51">
        <v>8.4048364E7</v>
      </c>
      <c r="D24" s="49">
        <f t="shared" si="1"/>
        <v>0.7855860245</v>
      </c>
      <c r="E24" s="46"/>
      <c r="F24" s="46"/>
    </row>
    <row r="25" ht="12.75" customHeight="1">
      <c r="A25" s="50" t="s">
        <v>53</v>
      </c>
      <c r="B25" s="51">
        <v>1.04992842E8</v>
      </c>
      <c r="C25" s="51">
        <v>8.3387536E7</v>
      </c>
      <c r="D25" s="49">
        <f t="shared" si="1"/>
        <v>0.7942211527</v>
      </c>
      <c r="E25" s="46"/>
      <c r="F25" s="46"/>
    </row>
    <row r="26" ht="12.75" customHeight="1">
      <c r="A26" s="50" t="s">
        <v>54</v>
      </c>
      <c r="B26" s="51">
        <v>1.84972307E8</v>
      </c>
      <c r="C26" s="51">
        <v>1.37927077E8</v>
      </c>
      <c r="D26" s="49">
        <f t="shared" si="1"/>
        <v>0.7456633873</v>
      </c>
      <c r="E26" s="46"/>
      <c r="F26" s="46"/>
    </row>
    <row r="27" ht="12.75" customHeight="1">
      <c r="A27" s="50" t="s">
        <v>55</v>
      </c>
      <c r="B27" s="51">
        <v>2.24173312E8</v>
      </c>
      <c r="C27" s="51">
        <v>1.70215035E8</v>
      </c>
      <c r="D27" s="49">
        <f t="shared" si="1"/>
        <v>0.759301067</v>
      </c>
      <c r="E27" s="46"/>
      <c r="F27" s="46"/>
    </row>
    <row r="28" ht="12.75" customHeight="1">
      <c r="A28" s="50" t="s">
        <v>56</v>
      </c>
      <c r="B28" s="51">
        <v>3.05440418E8</v>
      </c>
      <c r="C28" s="51">
        <v>2.37516889E8</v>
      </c>
      <c r="D28" s="49">
        <f t="shared" si="1"/>
        <v>0.7776210187</v>
      </c>
      <c r="E28" s="46"/>
      <c r="F28" s="46"/>
    </row>
    <row r="29" ht="12.75" customHeight="1">
      <c r="A29" s="50" t="s">
        <v>57</v>
      </c>
      <c r="B29" s="51">
        <v>5.7257645E7</v>
      </c>
      <c r="C29" s="51">
        <v>4.4331669E7</v>
      </c>
      <c r="D29" s="49">
        <f t="shared" si="1"/>
        <v>0.774248906</v>
      </c>
      <c r="E29" s="46"/>
      <c r="F29" s="46"/>
    </row>
    <row r="30" ht="12.75" customHeight="1">
      <c r="A30" s="50" t="s">
        <v>58</v>
      </c>
      <c r="B30" s="51">
        <v>4.4739329E7</v>
      </c>
      <c r="C30" s="51">
        <v>3.4272685E7</v>
      </c>
      <c r="D30" s="49">
        <f t="shared" si="1"/>
        <v>0.7660527273</v>
      </c>
      <c r="E30" s="46"/>
      <c r="F30" s="46"/>
    </row>
    <row r="31" ht="12.75" customHeight="1">
      <c r="A31" s="50" t="s">
        <v>59</v>
      </c>
      <c r="B31" s="51">
        <v>7.9138957E8</v>
      </c>
      <c r="C31" s="51">
        <v>5.91068423E8</v>
      </c>
      <c r="D31" s="49">
        <f t="shared" si="1"/>
        <v>0.7468741634</v>
      </c>
      <c r="E31" s="46"/>
      <c r="F31" s="46"/>
    </row>
    <row r="32" ht="12.75" customHeight="1">
      <c r="A32" s="50" t="s">
        <v>60</v>
      </c>
      <c r="B32" s="51">
        <v>1.26527335E8</v>
      </c>
      <c r="C32" s="51">
        <v>9.7732046E7</v>
      </c>
      <c r="D32" s="49">
        <f t="shared" si="1"/>
        <v>0.7724184343</v>
      </c>
      <c r="E32" s="46"/>
      <c r="F32" s="46"/>
    </row>
    <row r="33" ht="12.75" customHeight="1">
      <c r="A33" s="50" t="s">
        <v>61</v>
      </c>
      <c r="B33" s="51">
        <v>8.8375124E7</v>
      </c>
      <c r="C33" s="51">
        <v>6.6677796E7</v>
      </c>
      <c r="D33" s="49">
        <f t="shared" si="1"/>
        <v>0.7544860248</v>
      </c>
      <c r="E33" s="46"/>
      <c r="F33" s="46"/>
    </row>
    <row r="34" ht="12.75" customHeight="1">
      <c r="A34" s="52"/>
      <c r="B34" s="52"/>
      <c r="C34" s="52"/>
      <c r="D34" s="53"/>
      <c r="E34" s="46"/>
      <c r="F34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54" t="s">
        <v>62</v>
      </c>
      <c r="B1" s="55" t="s">
        <v>11</v>
      </c>
      <c r="C1" s="55" t="s">
        <v>63</v>
      </c>
      <c r="D1" s="54" t="s">
        <v>64</v>
      </c>
    </row>
    <row r="2" ht="15.75" customHeight="1">
      <c r="A2" s="56"/>
      <c r="B2" s="57"/>
      <c r="C2" s="58"/>
      <c r="D2" s="57"/>
    </row>
    <row r="3" ht="15.75" customHeight="1">
      <c r="A3" s="56"/>
      <c r="B3" s="59"/>
      <c r="C3" s="60"/>
      <c r="D3" s="57"/>
    </row>
    <row r="4" ht="15.75" customHeight="1">
      <c r="A4" s="61"/>
      <c r="B4" s="59"/>
      <c r="C4" s="62"/>
      <c r="D4" s="63"/>
    </row>
    <row r="5" ht="15.75" customHeight="1">
      <c r="A5" s="64"/>
      <c r="B5" s="59"/>
      <c r="C5" s="62"/>
      <c r="D5" s="63"/>
    </row>
    <row r="6" ht="15.75" customHeight="1">
      <c r="A6" s="61"/>
      <c r="B6" s="59"/>
      <c r="C6" s="62"/>
      <c r="D6" s="63"/>
    </row>
    <row r="7" ht="15.75" customHeight="1">
      <c r="A7" s="64"/>
      <c r="B7" s="59"/>
      <c r="C7" s="65"/>
      <c r="D7" s="63"/>
    </row>
  </sheetData>
  <drawing r:id="rId1"/>
</worksheet>
</file>