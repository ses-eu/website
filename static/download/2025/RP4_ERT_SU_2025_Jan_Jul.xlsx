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<sst xmlns="http://schemas.openxmlformats.org/spreadsheetml/2006/main" count="61" uniqueCount="56">
  <si>
    <t>Data source</t>
  </si>
  <si>
    <t>EUROCONTROL</t>
  </si>
  <si>
    <t>Period Start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</si>
  <si>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</si>
  <si>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</si>
  <si>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</si>
  <si>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</si>
  <si>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</si>
  <si>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</si>
  <si>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</si>
  <si>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</si>
  <si>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JAN-JUL</t>
  </si>
  <si>
    <t>SOURCE: CRCO</t>
  </si>
  <si>
    <t>En-route service units</t>
  </si>
  <si>
    <t>Actual [2024]</t>
  </si>
  <si>
    <t>Daily ER SU [2024]</t>
  </si>
  <si>
    <t>Actual [2025]</t>
  </si>
  <si>
    <t>Daily ER SU [actual, 2025]</t>
  </si>
  <si>
    <t>25/24 (%)</t>
  </si>
  <si>
    <t>Det. [2025]</t>
  </si>
  <si>
    <t>Daily ER SU [2025]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</si>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</sst>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4" fillId="0" fontId="5" numFmtId="165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vertical="bottom" wrapText="0"/>
    </xf>
    <xf borderId="6" fillId="3" fontId="2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3" fontId="7" numFmtId="167" xfId="0" applyAlignment="1" applyFont="1" applyNumberFormat="1">
      <alignment horizontal="left" shrinkToFit="0" wrapText="0"/>
    </xf>
    <xf borderId="0" fillId="3" fontId="8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7" fillId="3" fontId="10" numFmtId="0" xfId="0" applyAlignment="1" applyBorder="1" applyFont="1">
      <alignment horizontal="left" readingOrder="0" shrinkToFit="0" vertical="center" wrapText="0"/>
    </xf>
    <xf borderId="7" fillId="3" fontId="10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4" fontId="11" numFmtId="49" xfId="0" applyAlignment="1" applyBorder="1" applyFont="1" applyNumberForma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5" fontId="9" numFmtId="168" xfId="0" applyAlignment="1" applyBorder="1" applyFont="1" applyNumberFormat="1">
      <alignment horizontal="right" shrinkToFit="0" wrapText="1"/>
    </xf>
    <xf borderId="7" fillId="3" fontId="12" numFmtId="3" xfId="0" applyAlignment="1" applyBorder="1" applyFont="1" applyNumberFormat="1">
      <alignment horizontal="righ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8" fillId="4" fontId="13" numFmtId="0" xfId="0" applyAlignment="1" applyBorder="1" applyFont="1">
      <alignment shrinkToFit="0" wrapText="0"/>
    </xf>
    <xf borderId="8" fillId="4" fontId="13" numFmtId="0" xfId="0" applyAlignment="1" applyBorder="1" applyFont="1">
      <alignment horizontal="center" shrinkToFit="0" wrapText="0"/>
    </xf>
    <xf borderId="9" fillId="3" fontId="14" numFmtId="164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  <xf borderId="0" fillId="3" fontId="14" numFmtId="164" xfId="0" applyAlignment="1" applyFont="1" applyNumberFormat="1">
      <alignment horizontal="center" readingOrder="0" shrinkToFit="0" vertical="bottom" wrapText="0"/>
    </xf>
    <xf borderId="0" fillId="3" fontId="12" numFmtId="17" xfId="0" applyAlignment="1" applyFont="1" applyNumberFormat="1">
      <alignment vertical="bottom"/>
    </xf>
    <xf borderId="0" fillId="3" fontId="12" numFmtId="0" xfId="0" applyAlignment="1" applyFont="1">
      <alignment horizontal="center" shrinkToFit="0" vertical="bottom" wrapText="0"/>
    </xf>
    <xf borderId="0" fillId="3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5" t="s">
        <v>3</v>
      </c>
      <c r="F1" s="6" t="s">
        <v>4</v>
      </c>
      <c r="G1" s="7" t="s">
        <v>5</v>
      </c>
      <c r="H1" s="7" t="s">
        <v>5</v>
      </c>
      <c r="I1" s="7" t="s">
        <v>5</v>
      </c>
    </row>
    <row r="2" ht="12.75" customHeight="1">
      <c r="A2" s="8" t="s">
        <v>6</v>
      </c>
      <c r="B2" s="9">
        <v>45887.0</v>
      </c>
      <c r="C2" s="10" t="s">
        <v>7</v>
      </c>
      <c r="D2" s="11">
        <v>45869.0</v>
      </c>
      <c r="E2" s="12" t="s">
        <v>8</v>
      </c>
      <c r="F2" s="13" t="s">
        <v>9</v>
      </c>
      <c r="G2" s="14"/>
      <c r="H2" s="15" t="s">
        <v>5</v>
      </c>
      <c r="I2" s="14"/>
    </row>
    <row r="3" ht="12.75" customHeight="1">
      <c r="A3" s="16"/>
      <c r="B3" s="16"/>
      <c r="C3" s="16"/>
      <c r="D3" s="17" t="s">
        <v>5</v>
      </c>
      <c r="E3" s="16"/>
      <c r="F3" s="17" t="s">
        <v>10</v>
      </c>
      <c r="G3" s="18"/>
      <c r="H3" s="19" t="s">
        <v>5</v>
      </c>
      <c r="I3" s="18"/>
    </row>
    <row r="4" ht="13.5" customHeight="1">
      <c r="A4" s="20" t="s">
        <v>11</v>
      </c>
      <c r="B4" s="21" t="s">
        <v>12</v>
      </c>
      <c r="C4" s="21">
        <v>213.0</v>
      </c>
      <c r="D4" s="22"/>
      <c r="E4" s="21">
        <v>212.0</v>
      </c>
      <c r="F4" s="22"/>
      <c r="G4" s="22"/>
      <c r="H4" s="21">
        <v>212.0</v>
      </c>
      <c r="I4" s="22"/>
    </row>
    <row r="5" ht="25.5" customHeight="1">
      <c r="A5" s="23" t="s">
        <v>13</v>
      </c>
      <c r="B5" s="23" t="s">
        <v>14</v>
      </c>
      <c r="C5" s="24" t="s">
        <v>15</v>
      </c>
      <c r="D5" s="23" t="s">
        <v>16</v>
      </c>
      <c r="E5" s="23" t="s">
        <v>17</v>
      </c>
      <c r="F5" s="23" t="s">
        <v>18</v>
      </c>
      <c r="G5" s="23" t="s">
        <v>19</v>
      </c>
      <c r="H5" s="23" t="s">
        <v>20</v>
      </c>
      <c r="I5" s="23" t="s">
        <v>21</v>
      </c>
    </row>
    <row r="6" ht="12.75" customHeight="1">
      <c r="A6" s="25" t="s">
        <v>22</v>
      </c>
      <c r="B6" s="26">
        <f>sum(B7:B35)</f>
        <v>74422517</v>
      </c>
      <c r="C6" s="26">
        <f t="shared" ref="C6:C35" si="1">B6/C$4</f>
        <v>349401.4883</v>
      </c>
      <c r="D6" s="26">
        <f>sum(D7:D35)</f>
        <v>78555483</v>
      </c>
      <c r="E6" s="26">
        <f t="shared" ref="E6:E35" si="2">D6/E$4</f>
        <v>370544.7311</v>
      </c>
      <c r="F6" s="27">
        <f t="shared" ref="F6:F35" si="3">E6/C6-1</f>
        <v>0.06051274416</v>
      </c>
      <c r="G6" s="26">
        <f>sum(G7:G35)</f>
        <v>76643307</v>
      </c>
      <c r="H6" s="26">
        <f t="shared" ref="H6:H35" si="4">G6/H$4</f>
        <v>361525.033</v>
      </c>
      <c r="I6" s="27">
        <f t="shared" ref="I6:I35" si="5">D6/G6-1</f>
        <v>0.02494902784</v>
      </c>
    </row>
    <row r="7" ht="12.75" customHeight="1">
      <c r="A7" s="25" t="s">
        <v>23</v>
      </c>
      <c r="B7" s="28">
        <v>2272968.0</v>
      </c>
      <c r="C7" s="26">
        <f t="shared" si="1"/>
        <v>10671.21127</v>
      </c>
      <c r="D7" s="28">
        <v>2536664.0</v>
      </c>
      <c r="E7" s="26">
        <f t="shared" si="2"/>
        <v>11965.39623</v>
      </c>
      <c r="F7" s="27">
        <f t="shared" si="3"/>
        <v>0.1212781686</v>
      </c>
      <c r="G7" s="28">
        <v>2359638.0</v>
      </c>
      <c r="H7" s="26">
        <f t="shared" si="4"/>
        <v>11130.36792</v>
      </c>
      <c r="I7" s="27">
        <f t="shared" si="5"/>
        <v>0.07502252464</v>
      </c>
    </row>
    <row r="8" ht="12.75" customHeight="1">
      <c r="A8" s="25" t="s">
        <v>24</v>
      </c>
      <c r="B8" s="28">
        <v>1453240.0</v>
      </c>
      <c r="C8" s="26">
        <f t="shared" si="1"/>
        <v>6822.723005</v>
      </c>
      <c r="D8" s="28">
        <v>1564328.0</v>
      </c>
      <c r="E8" s="26">
        <f t="shared" si="2"/>
        <v>7378.90566</v>
      </c>
      <c r="F8" s="27">
        <f t="shared" si="3"/>
        <v>0.08151916109</v>
      </c>
      <c r="G8" s="28">
        <v>1484720.0</v>
      </c>
      <c r="H8" s="26">
        <f t="shared" si="4"/>
        <v>7003.396226</v>
      </c>
      <c r="I8" s="27">
        <f t="shared" si="5"/>
        <v>0.05361819064</v>
      </c>
    </row>
    <row r="9" ht="12.75" customHeight="1">
      <c r="A9" s="25" t="s">
        <v>25</v>
      </c>
      <c r="B9" s="28">
        <v>2885725.0</v>
      </c>
      <c r="C9" s="26">
        <f t="shared" si="1"/>
        <v>13548.00469</v>
      </c>
      <c r="D9" s="28">
        <v>3025512.0</v>
      </c>
      <c r="E9" s="26">
        <f t="shared" si="2"/>
        <v>14271.28302</v>
      </c>
      <c r="F9" s="27">
        <f t="shared" si="3"/>
        <v>0.0533863355</v>
      </c>
      <c r="G9" s="28">
        <v>3053429.0</v>
      </c>
      <c r="H9" s="26">
        <f t="shared" si="4"/>
        <v>14402.96698</v>
      </c>
      <c r="I9" s="27">
        <f t="shared" si="5"/>
        <v>-0.009142835809</v>
      </c>
    </row>
    <row r="10" ht="12.75" customHeight="1">
      <c r="A10" s="25" t="s">
        <v>26</v>
      </c>
      <c r="B10" s="28">
        <v>1679123.0</v>
      </c>
      <c r="C10" s="26">
        <f t="shared" si="1"/>
        <v>7883.206573</v>
      </c>
      <c r="D10" s="28">
        <v>1796168.0</v>
      </c>
      <c r="E10" s="26">
        <f t="shared" si="2"/>
        <v>8472.490566</v>
      </c>
      <c r="F10" s="27">
        <f t="shared" si="3"/>
        <v>0.07475181423</v>
      </c>
      <c r="G10" s="28">
        <v>1654510.0</v>
      </c>
      <c r="H10" s="26">
        <f t="shared" si="4"/>
        <v>7804.292453</v>
      </c>
      <c r="I10" s="27">
        <f t="shared" si="5"/>
        <v>0.08561930723</v>
      </c>
    </row>
    <row r="11" ht="12.75" customHeight="1">
      <c r="A11" s="25" t="s">
        <v>27</v>
      </c>
      <c r="B11" s="28">
        <v>1001854.0</v>
      </c>
      <c r="C11" s="26">
        <f t="shared" si="1"/>
        <v>4703.539906</v>
      </c>
      <c r="D11" s="28">
        <v>1166572.0</v>
      </c>
      <c r="E11" s="26">
        <f t="shared" si="2"/>
        <v>5502.698113</v>
      </c>
      <c r="F11" s="27">
        <f t="shared" si="3"/>
        <v>0.169905693</v>
      </c>
      <c r="G11" s="28">
        <v>1014315.0</v>
      </c>
      <c r="H11" s="26">
        <f t="shared" si="4"/>
        <v>4784.504717</v>
      </c>
      <c r="I11" s="27">
        <f t="shared" si="5"/>
        <v>0.1501082011</v>
      </c>
    </row>
    <row r="12" ht="12.75" customHeight="1">
      <c r="A12" s="25" t="s">
        <v>28</v>
      </c>
      <c r="B12" s="28">
        <v>1337862.0</v>
      </c>
      <c r="C12" s="26">
        <f t="shared" si="1"/>
        <v>6281.042254</v>
      </c>
      <c r="D12" s="28">
        <v>1372797.0</v>
      </c>
      <c r="E12" s="26">
        <f t="shared" si="2"/>
        <v>6475.457547</v>
      </c>
      <c r="F12" s="27">
        <f t="shared" si="3"/>
        <v>0.03095271227</v>
      </c>
      <c r="G12" s="28">
        <v>1402458.0</v>
      </c>
      <c r="H12" s="26">
        <f t="shared" si="4"/>
        <v>6615.367925</v>
      </c>
      <c r="I12" s="27">
        <f t="shared" si="5"/>
        <v>-0.02114929645</v>
      </c>
    </row>
    <row r="13" ht="12.75" customHeight="1">
      <c r="A13" s="25" t="s">
        <v>29</v>
      </c>
      <c r="B13" s="28">
        <v>897992.0</v>
      </c>
      <c r="C13" s="26">
        <f t="shared" si="1"/>
        <v>4215.924883</v>
      </c>
      <c r="D13" s="28">
        <v>889902.0</v>
      </c>
      <c r="E13" s="26">
        <f t="shared" si="2"/>
        <v>4197.650943</v>
      </c>
      <c r="F13" s="27">
        <f t="shared" si="3"/>
        <v>-0.004334503043</v>
      </c>
      <c r="G13" s="28">
        <v>926489.0</v>
      </c>
      <c r="H13" s="26">
        <f t="shared" si="4"/>
        <v>4370.231132</v>
      </c>
      <c r="I13" s="27">
        <f t="shared" si="5"/>
        <v>-0.03948994537</v>
      </c>
    </row>
    <row r="14" ht="12.75" customHeight="1">
      <c r="A14" s="25" t="s">
        <v>30</v>
      </c>
      <c r="B14" s="28">
        <v>304312.0</v>
      </c>
      <c r="C14" s="26">
        <f t="shared" si="1"/>
        <v>1428.694836</v>
      </c>
      <c r="D14" s="28">
        <v>363445.0</v>
      </c>
      <c r="E14" s="26">
        <f t="shared" si="2"/>
        <v>1714.363208</v>
      </c>
      <c r="F14" s="27">
        <f t="shared" si="3"/>
        <v>0.1999505876</v>
      </c>
      <c r="G14" s="28">
        <v>312443.0</v>
      </c>
      <c r="H14" s="26">
        <f t="shared" si="4"/>
        <v>1473.787736</v>
      </c>
      <c r="I14" s="27">
        <f t="shared" si="5"/>
        <v>0.1632361743</v>
      </c>
    </row>
    <row r="15" ht="12.75" customHeight="1">
      <c r="A15" s="25" t="s">
        <v>31</v>
      </c>
      <c r="B15" s="28">
        <v>433275.0</v>
      </c>
      <c r="C15" s="26">
        <f t="shared" si="1"/>
        <v>2034.15493</v>
      </c>
      <c r="D15" s="28">
        <v>388247.0</v>
      </c>
      <c r="E15" s="26">
        <f t="shared" si="2"/>
        <v>1831.353774</v>
      </c>
      <c r="F15" s="27">
        <f t="shared" si="3"/>
        <v>-0.0996979891</v>
      </c>
      <c r="G15" s="28">
        <v>469160.0</v>
      </c>
      <c r="H15" s="26">
        <f t="shared" si="4"/>
        <v>2213.018868</v>
      </c>
      <c r="I15" s="27">
        <f t="shared" si="5"/>
        <v>-0.1724635519</v>
      </c>
    </row>
    <row r="16" ht="12.75" customHeight="1">
      <c r="A16" s="25" t="s">
        <v>32</v>
      </c>
      <c r="B16" s="28">
        <v>1.2919348E7</v>
      </c>
      <c r="C16" s="26">
        <f t="shared" si="1"/>
        <v>60654.21596</v>
      </c>
      <c r="D16" s="28">
        <v>1.3516995E7</v>
      </c>
      <c r="E16" s="26">
        <f t="shared" si="2"/>
        <v>63759.41038</v>
      </c>
      <c r="F16" s="27">
        <f t="shared" si="3"/>
        <v>0.05119503015</v>
      </c>
      <c r="G16" s="28">
        <v>1.2971749E7</v>
      </c>
      <c r="H16" s="26">
        <f t="shared" si="4"/>
        <v>61187.49528</v>
      </c>
      <c r="I16" s="27">
        <f t="shared" si="5"/>
        <v>0.04203334493</v>
      </c>
    </row>
    <row r="17" ht="12.75" customHeight="1">
      <c r="A17" s="25" t="s">
        <v>33</v>
      </c>
      <c r="B17" s="28">
        <v>8226710.0</v>
      </c>
      <c r="C17" s="26">
        <f t="shared" si="1"/>
        <v>38623.05164</v>
      </c>
      <c r="D17" s="28">
        <v>8506124.0</v>
      </c>
      <c r="E17" s="26">
        <f t="shared" si="2"/>
        <v>40123.22642</v>
      </c>
      <c r="F17" s="27">
        <f t="shared" si="3"/>
        <v>0.03884143557</v>
      </c>
      <c r="G17" s="28">
        <v>8381263.0</v>
      </c>
      <c r="H17" s="26">
        <f t="shared" si="4"/>
        <v>39534.25943</v>
      </c>
      <c r="I17" s="27">
        <f t="shared" si="5"/>
        <v>0.01489763536</v>
      </c>
    </row>
    <row r="18" ht="12.75" customHeight="1">
      <c r="A18" s="25" t="s">
        <v>34</v>
      </c>
      <c r="B18" s="28">
        <v>4090222.0</v>
      </c>
      <c r="C18" s="26">
        <f t="shared" si="1"/>
        <v>19202.92019</v>
      </c>
      <c r="D18" s="28">
        <v>4603258.0</v>
      </c>
      <c r="E18" s="26">
        <f t="shared" si="2"/>
        <v>21713.48113</v>
      </c>
      <c r="F18" s="27">
        <f t="shared" si="3"/>
        <v>0.1307384981</v>
      </c>
      <c r="G18" s="28">
        <v>4157987.0</v>
      </c>
      <c r="H18" s="26">
        <f t="shared" si="4"/>
        <v>19613.14623</v>
      </c>
      <c r="I18" s="27">
        <f t="shared" si="5"/>
        <v>0.1070881174</v>
      </c>
    </row>
    <row r="19" ht="12.75" customHeight="1">
      <c r="A19" s="25" t="s">
        <v>35</v>
      </c>
      <c r="B19" s="28">
        <v>2230618.0</v>
      </c>
      <c r="C19" s="26">
        <f t="shared" si="1"/>
        <v>10472.38498</v>
      </c>
      <c r="D19" s="28">
        <v>2416898.0</v>
      </c>
      <c r="E19" s="26">
        <f t="shared" si="2"/>
        <v>11400.46226</v>
      </c>
      <c r="F19" s="27">
        <f t="shared" si="3"/>
        <v>0.08862138755</v>
      </c>
      <c r="G19" s="28">
        <v>2288722.0</v>
      </c>
      <c r="H19" s="26">
        <f t="shared" si="4"/>
        <v>10795.85849</v>
      </c>
      <c r="I19" s="27">
        <f t="shared" si="5"/>
        <v>0.05600330665</v>
      </c>
    </row>
    <row r="20" ht="12.75" customHeight="1">
      <c r="A20" s="25" t="s">
        <v>36</v>
      </c>
      <c r="B20" s="28">
        <v>2869280.0</v>
      </c>
      <c r="C20" s="26">
        <f t="shared" si="1"/>
        <v>13470.79812</v>
      </c>
      <c r="D20" s="28">
        <v>2976279.0</v>
      </c>
      <c r="E20" s="26">
        <f t="shared" si="2"/>
        <v>14039.05189</v>
      </c>
      <c r="F20" s="27">
        <f t="shared" si="3"/>
        <v>0.04218412002</v>
      </c>
      <c r="G20" s="28">
        <v>2976603.0</v>
      </c>
      <c r="H20" s="26">
        <f t="shared" si="4"/>
        <v>14040.58019</v>
      </c>
      <c r="I20" s="27">
        <f t="shared" si="5"/>
        <v>-0.0001088489127</v>
      </c>
    </row>
    <row r="21" ht="12.75" customHeight="1">
      <c r="A21" s="25" t="s">
        <v>37</v>
      </c>
      <c r="B21" s="28">
        <v>6540174.0</v>
      </c>
      <c r="C21" s="26">
        <f t="shared" si="1"/>
        <v>30705.04225</v>
      </c>
      <c r="D21" s="28">
        <v>6995057.0</v>
      </c>
      <c r="E21" s="26">
        <f t="shared" si="2"/>
        <v>32995.55189</v>
      </c>
      <c r="F21" s="27">
        <f t="shared" si="3"/>
        <v>0.07459718226</v>
      </c>
      <c r="G21" s="28">
        <v>6943423.0</v>
      </c>
      <c r="H21" s="26">
        <f t="shared" si="4"/>
        <v>32751.99528</v>
      </c>
      <c r="I21" s="27">
        <f t="shared" si="5"/>
        <v>0.007436389804</v>
      </c>
    </row>
    <row r="22" ht="12.75" customHeight="1">
      <c r="A22" s="25" t="s">
        <v>38</v>
      </c>
      <c r="B22" s="28">
        <v>314033.0</v>
      </c>
      <c r="C22" s="26">
        <f t="shared" si="1"/>
        <v>1474.333333</v>
      </c>
      <c r="D22" s="28">
        <v>346423.0</v>
      </c>
      <c r="E22" s="26">
        <f t="shared" si="2"/>
        <v>1634.070755</v>
      </c>
      <c r="F22" s="27">
        <f t="shared" si="3"/>
        <v>0.1083455266</v>
      </c>
      <c r="G22" s="28">
        <v>315327.0</v>
      </c>
      <c r="H22" s="26">
        <f t="shared" si="4"/>
        <v>1487.391509</v>
      </c>
      <c r="I22" s="27">
        <f t="shared" si="5"/>
        <v>0.09861508846</v>
      </c>
    </row>
    <row r="23" ht="12.75" customHeight="1">
      <c r="A23" s="25" t="s">
        <v>39</v>
      </c>
      <c r="B23" s="28">
        <v>251355.0</v>
      </c>
      <c r="C23" s="26">
        <f t="shared" si="1"/>
        <v>1180.070423</v>
      </c>
      <c r="D23" s="28">
        <v>274689.0</v>
      </c>
      <c r="E23" s="26">
        <f t="shared" si="2"/>
        <v>1295.70283</v>
      </c>
      <c r="F23" s="27">
        <f t="shared" si="3"/>
        <v>0.09798771789</v>
      </c>
      <c r="G23" s="28">
        <v>264580.0</v>
      </c>
      <c r="H23" s="26">
        <f t="shared" si="4"/>
        <v>1248.018868</v>
      </c>
      <c r="I23" s="27">
        <f t="shared" si="5"/>
        <v>0.03820772545</v>
      </c>
    </row>
    <row r="24" ht="12.75" customHeight="1">
      <c r="A24" s="25" t="s">
        <v>40</v>
      </c>
      <c r="B24" s="28">
        <v>634134.0</v>
      </c>
      <c r="C24" s="26">
        <f t="shared" si="1"/>
        <v>2977.15493</v>
      </c>
      <c r="D24" s="28">
        <v>738000.0</v>
      </c>
      <c r="E24" s="26">
        <f t="shared" si="2"/>
        <v>3481.132075</v>
      </c>
      <c r="F24" s="27">
        <f t="shared" si="3"/>
        <v>0.1692814643</v>
      </c>
      <c r="G24" s="28">
        <v>666171.0</v>
      </c>
      <c r="H24" s="26">
        <f t="shared" si="4"/>
        <v>3142.316038</v>
      </c>
      <c r="I24" s="27">
        <f t="shared" si="5"/>
        <v>0.1078236669</v>
      </c>
    </row>
    <row r="25" ht="12.75" customHeight="1">
      <c r="A25" s="25" t="s">
        <v>41</v>
      </c>
      <c r="B25" s="28">
        <v>1717575.0</v>
      </c>
      <c r="C25" s="26">
        <f t="shared" si="1"/>
        <v>8063.732394</v>
      </c>
      <c r="D25" s="28">
        <v>1664021.0</v>
      </c>
      <c r="E25" s="26">
        <f t="shared" si="2"/>
        <v>7849.15566</v>
      </c>
      <c r="F25" s="27">
        <f t="shared" si="3"/>
        <v>-0.02661010107</v>
      </c>
      <c r="G25" s="28">
        <v>1771229.0</v>
      </c>
      <c r="H25" s="26">
        <f t="shared" si="4"/>
        <v>8354.853774</v>
      </c>
      <c r="I25" s="27">
        <f t="shared" si="5"/>
        <v>-0.06052746426</v>
      </c>
    </row>
    <row r="26" ht="12.75" customHeight="1">
      <c r="A26" s="25" t="s">
        <v>42</v>
      </c>
      <c r="B26" s="28">
        <v>1405185.0</v>
      </c>
      <c r="C26" s="26">
        <f t="shared" si="1"/>
        <v>6597.112676</v>
      </c>
      <c r="D26" s="28">
        <v>1420566.0</v>
      </c>
      <c r="E26" s="26">
        <f t="shared" si="2"/>
        <v>6700.783019</v>
      </c>
      <c r="F26" s="27">
        <f t="shared" si="3"/>
        <v>0.01571450237</v>
      </c>
      <c r="G26" s="28">
        <v>1423527.0</v>
      </c>
      <c r="H26" s="26">
        <f t="shared" si="4"/>
        <v>6714.75</v>
      </c>
      <c r="I26" s="27">
        <f t="shared" si="5"/>
        <v>-0.002080044846</v>
      </c>
    </row>
    <row r="27" ht="12.75" customHeight="1">
      <c r="A27" s="25" t="s">
        <v>43</v>
      </c>
      <c r="B27" s="28">
        <v>2152515.0</v>
      </c>
      <c r="C27" s="26">
        <f t="shared" si="1"/>
        <v>10105.70423</v>
      </c>
      <c r="D27" s="28">
        <v>2211055.0</v>
      </c>
      <c r="E27" s="26">
        <f t="shared" si="2"/>
        <v>10429.50472</v>
      </c>
      <c r="F27" s="27">
        <f t="shared" si="3"/>
        <v>0.03204135847</v>
      </c>
      <c r="G27" s="28">
        <v>2287884.0</v>
      </c>
      <c r="H27" s="26">
        <f t="shared" si="4"/>
        <v>10791.90566</v>
      </c>
      <c r="I27" s="27">
        <f t="shared" si="5"/>
        <v>-0.03358081092</v>
      </c>
    </row>
    <row r="28" ht="12.75" customHeight="1">
      <c r="A28" s="25" t="s">
        <v>44</v>
      </c>
      <c r="B28" s="28">
        <v>2578838.0</v>
      </c>
      <c r="C28" s="26">
        <f t="shared" si="1"/>
        <v>12107.22066</v>
      </c>
      <c r="D28" s="28">
        <v>2796175.0</v>
      </c>
      <c r="E28" s="26">
        <f t="shared" si="2"/>
        <v>13189.50472</v>
      </c>
      <c r="F28" s="27">
        <f t="shared" si="3"/>
        <v>0.08939161929</v>
      </c>
      <c r="G28" s="28">
        <v>2690857.0</v>
      </c>
      <c r="H28" s="26">
        <f t="shared" si="4"/>
        <v>12692.7217</v>
      </c>
      <c r="I28" s="27">
        <f t="shared" si="5"/>
        <v>0.03913920361</v>
      </c>
    </row>
    <row r="29" ht="12.75" customHeight="1">
      <c r="A29" s="25" t="s">
        <v>45</v>
      </c>
      <c r="B29" s="28">
        <v>3663493.0</v>
      </c>
      <c r="C29" s="26">
        <f t="shared" si="1"/>
        <v>17199.49765</v>
      </c>
      <c r="D29" s="28">
        <v>3841805.0</v>
      </c>
      <c r="E29" s="26">
        <f t="shared" si="2"/>
        <v>18121.7217</v>
      </c>
      <c r="F29" s="27">
        <f t="shared" si="3"/>
        <v>0.05361924308</v>
      </c>
      <c r="G29" s="28">
        <v>3897108.0</v>
      </c>
      <c r="H29" s="26">
        <f t="shared" si="4"/>
        <v>18382.58491</v>
      </c>
      <c r="I29" s="27">
        <f t="shared" si="5"/>
        <v>-0.01419077942</v>
      </c>
    </row>
    <row r="30" ht="12.75" customHeight="1">
      <c r="A30" s="25" t="s">
        <v>46</v>
      </c>
      <c r="B30" s="28">
        <v>694320.0</v>
      </c>
      <c r="C30" s="26">
        <f t="shared" si="1"/>
        <v>3259.71831</v>
      </c>
      <c r="D30" s="28">
        <v>657599.0</v>
      </c>
      <c r="E30" s="26">
        <f t="shared" si="2"/>
        <v>3101.882075</v>
      </c>
      <c r="F30" s="27">
        <f t="shared" si="3"/>
        <v>-0.04842020671</v>
      </c>
      <c r="G30" s="28">
        <v>721295.0</v>
      </c>
      <c r="H30" s="26">
        <f t="shared" si="4"/>
        <v>3402.334906</v>
      </c>
      <c r="I30" s="27">
        <f t="shared" si="5"/>
        <v>-0.08830783521</v>
      </c>
    </row>
    <row r="31" ht="12.75" customHeight="1">
      <c r="A31" s="25" t="s">
        <v>47</v>
      </c>
      <c r="B31" s="28">
        <v>391701.0</v>
      </c>
      <c r="C31" s="26">
        <f t="shared" si="1"/>
        <v>1838.971831</v>
      </c>
      <c r="D31" s="28">
        <v>442963.0</v>
      </c>
      <c r="E31" s="26">
        <f t="shared" si="2"/>
        <v>2089.448113</v>
      </c>
      <c r="F31" s="27">
        <f t="shared" si="3"/>
        <v>0.1362045236</v>
      </c>
      <c r="G31" s="28">
        <v>405661.0</v>
      </c>
      <c r="H31" s="26">
        <f t="shared" si="4"/>
        <v>1913.495283</v>
      </c>
      <c r="I31" s="27">
        <f t="shared" si="5"/>
        <v>0.0919536263</v>
      </c>
    </row>
    <row r="32" ht="12.75" customHeight="1">
      <c r="A32" s="25" t="s">
        <v>48</v>
      </c>
      <c r="B32" s="28">
        <v>1202505.0</v>
      </c>
      <c r="C32" s="26">
        <f t="shared" si="1"/>
        <v>5645.56338</v>
      </c>
      <c r="D32" s="28">
        <v>1327463.0</v>
      </c>
      <c r="E32" s="26">
        <f t="shared" si="2"/>
        <v>6261.617925</v>
      </c>
      <c r="F32" s="27">
        <f t="shared" si="3"/>
        <v>0.1091218897</v>
      </c>
      <c r="G32" s="28">
        <v>1250237.0</v>
      </c>
      <c r="H32" s="26">
        <f t="shared" si="4"/>
        <v>5897.34434</v>
      </c>
      <c r="I32" s="27">
        <f t="shared" si="5"/>
        <v>0.06176908858</v>
      </c>
    </row>
    <row r="33" ht="12.75" customHeight="1">
      <c r="A33" s="25" t="s">
        <v>49</v>
      </c>
      <c r="B33" s="28">
        <v>7597753.0</v>
      </c>
      <c r="C33" s="26">
        <f t="shared" si="1"/>
        <v>35670.20188</v>
      </c>
      <c r="D33" s="28">
        <v>8072114.0</v>
      </c>
      <c r="E33" s="26">
        <f t="shared" si="2"/>
        <v>38076.00943</v>
      </c>
      <c r="F33" s="27">
        <f t="shared" si="3"/>
        <v>0.0674458632</v>
      </c>
      <c r="G33" s="28">
        <v>7723995.0</v>
      </c>
      <c r="H33" s="26">
        <f t="shared" si="4"/>
        <v>36433.93868</v>
      </c>
      <c r="I33" s="27">
        <f t="shared" si="5"/>
        <v>0.04506981167</v>
      </c>
    </row>
    <row r="34" ht="12.75" customHeight="1">
      <c r="A34" s="25" t="s">
        <v>50</v>
      </c>
      <c r="B34" s="28">
        <v>1643345.0</v>
      </c>
      <c r="C34" s="26">
        <f t="shared" si="1"/>
        <v>7715.234742</v>
      </c>
      <c r="D34" s="28">
        <v>1640977.0</v>
      </c>
      <c r="E34" s="26">
        <f t="shared" si="2"/>
        <v>7740.457547</v>
      </c>
      <c r="F34" s="27">
        <f t="shared" si="3"/>
        <v>0.003269220734</v>
      </c>
      <c r="G34" s="28">
        <v>1741405.0</v>
      </c>
      <c r="H34" s="26">
        <f t="shared" si="4"/>
        <v>8214.174528</v>
      </c>
      <c r="I34" s="27">
        <f t="shared" si="5"/>
        <v>-0.05767067397</v>
      </c>
    </row>
    <row r="35" ht="12.75" customHeight="1">
      <c r="A35" s="25" t="s">
        <v>51</v>
      </c>
      <c r="B35" s="28">
        <v>1033062.0</v>
      </c>
      <c r="C35" s="26">
        <f t="shared" si="1"/>
        <v>4850.056338</v>
      </c>
      <c r="D35" s="28">
        <v>1003387.0</v>
      </c>
      <c r="E35" s="26">
        <f t="shared" si="2"/>
        <v>4732.957547</v>
      </c>
      <c r="F35" s="27">
        <f t="shared" si="3"/>
        <v>-0.02414380013</v>
      </c>
      <c r="G35" s="28">
        <v>1087122.0</v>
      </c>
      <c r="H35" s="26">
        <f t="shared" si="4"/>
        <v>5127.933962</v>
      </c>
      <c r="I35" s="27">
        <f t="shared" si="5"/>
        <v>-0.07702447379</v>
      </c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30" t="s">
        <v>52</v>
      </c>
      <c r="B1" s="31" t="s">
        <v>53</v>
      </c>
      <c r="C1" s="31" t="s">
        <v>54</v>
      </c>
      <c r="D1" s="30" t="s">
        <v>55</v>
      </c>
    </row>
    <row r="2" ht="12.75" customHeight="1">
      <c r="A2" s="32"/>
      <c r="B2" s="33"/>
      <c r="C2" s="34"/>
      <c r="D2" s="35"/>
    </row>
    <row r="3" ht="12.0" customHeight="1">
      <c r="A3" s="32"/>
      <c r="B3" s="33"/>
      <c r="C3" s="34"/>
      <c r="D3" s="35"/>
    </row>
    <row r="4" ht="12.0" customHeight="1">
      <c r="A4" s="32"/>
      <c r="B4" s="33"/>
      <c r="C4" s="34"/>
      <c r="D4" s="35"/>
    </row>
    <row r="5" ht="15.75" customHeight="1">
      <c r="A5" s="36"/>
      <c r="B5" s="37"/>
      <c r="C5" s="38"/>
      <c r="D5" s="39"/>
    </row>
  </sheetData>
  <drawing r:id="rId1"/>
</worksheet>
</file>