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3"/>
    <sheet state="visible" name="ERT_VFE_FAB" sheetId="2" r:id="rId4"/>
    <sheet state="visible" name="ERT_VFE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<sst xmlns="http://schemas.openxmlformats.org/spreadsheetml/2006/main" count="115" uniqueCount="65">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</sst>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45946.0</v>
      </c>
      <c r="C2" s="8" t="s">
        <v>5</v>
      </c>
      <c r="D2" s="9">
        <v>45930.0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9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5.841386404E9</v>
      </c>
      <c r="D6" s="24">
        <v>4.462209538E9</v>
      </c>
      <c r="E6" s="25">
        <f>D6/C6</f>
        <v>0.7638956284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45946</v>
      </c>
      <c r="C2" s="8" t="s">
        <v>5</v>
      </c>
      <c r="D2" s="9">
        <f>ERT_VFE_SES!D2</f>
        <v>45930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5.841386404E9</v>
      </c>
      <c r="C6" s="42">
        <v>4.462209538E9</v>
      </c>
      <c r="D6" s="43">
        <f t="shared" ref="D6:D15" si="1">C6/B6</f>
        <v>0.7638956284</v>
      </c>
      <c r="E6" s="35"/>
      <c r="F6" s="37"/>
    </row>
    <row r="7" ht="12.75" customHeight="1">
      <c r="A7" s="41" t="s">
        <v>24</v>
      </c>
      <c r="B7" s="42">
        <v>1.82971558E8</v>
      </c>
      <c r="C7" s="42">
        <v>1.35526328E8</v>
      </c>
      <c r="D7" s="43">
        <f t="shared" si="1"/>
        <v>0.7406961469</v>
      </c>
      <c r="E7" s="35"/>
      <c r="F7" s="37"/>
    </row>
    <row r="8" ht="12.75" customHeight="1">
      <c r="A8" s="41" t="s">
        <v>25</v>
      </c>
      <c r="B8" s="42">
        <v>1.071040719E9</v>
      </c>
      <c r="C8" s="42">
        <v>7.78751583E8</v>
      </c>
      <c r="D8" s="43">
        <f t="shared" si="1"/>
        <v>0.7270980171</v>
      </c>
      <c r="E8" s="35"/>
      <c r="F8" s="37"/>
    </row>
    <row r="9" ht="12.75" customHeight="1">
      <c r="A9" s="41" t="s">
        <v>26</v>
      </c>
      <c r="B9" s="42">
        <v>4.85661692E8</v>
      </c>
      <c r="C9" s="42">
        <v>3.74375837E8</v>
      </c>
      <c r="D9" s="43">
        <f t="shared" si="1"/>
        <v>0.7708572514</v>
      </c>
      <c r="E9" s="35"/>
      <c r="F9" s="37"/>
    </row>
    <row r="10" ht="12.75" customHeight="1">
      <c r="A10" s="41" t="s">
        <v>27</v>
      </c>
      <c r="B10" s="42">
        <v>1.76358556E8</v>
      </c>
      <c r="C10" s="42">
        <v>1.36799392E8</v>
      </c>
      <c r="D10" s="43">
        <f t="shared" si="1"/>
        <v>0.7756890003</v>
      </c>
      <c r="E10" s="35"/>
      <c r="F10" s="37"/>
    </row>
    <row r="11" ht="12.75" customHeight="1">
      <c r="A11" s="41" t="s">
        <v>28</v>
      </c>
      <c r="B11" s="42">
        <v>7.07378974E8</v>
      </c>
      <c r="C11" s="42">
        <v>5.41625456E8</v>
      </c>
      <c r="D11" s="43">
        <f t="shared" si="1"/>
        <v>0.7656793259</v>
      </c>
      <c r="E11" s="35"/>
      <c r="F11" s="37"/>
    </row>
    <row r="12" ht="12.75" customHeight="1">
      <c r="A12" s="41" t="s">
        <v>29</v>
      </c>
      <c r="B12" s="42">
        <v>2.043969199E9</v>
      </c>
      <c r="C12" s="42">
        <v>1.60528289E9</v>
      </c>
      <c r="D12" s="43">
        <f t="shared" si="1"/>
        <v>0.7853752839</v>
      </c>
      <c r="E12" s="35"/>
      <c r="F12" s="37"/>
    </row>
    <row r="13" ht="12.75" customHeight="1">
      <c r="A13" s="41" t="s">
        <v>30</v>
      </c>
      <c r="B13" s="44">
        <v>1.61413416E8</v>
      </c>
      <c r="C13" s="44">
        <v>1.24408601E8</v>
      </c>
      <c r="D13" s="43">
        <f t="shared" si="1"/>
        <v>0.7707451096</v>
      </c>
      <c r="E13" s="35"/>
      <c r="F13" s="37"/>
    </row>
    <row r="14" ht="12.75" customHeight="1">
      <c r="A14" s="41" t="s">
        <v>31</v>
      </c>
      <c r="B14" s="44">
        <v>9.08676866E8</v>
      </c>
      <c r="C14" s="44">
        <v>6.81423467E8</v>
      </c>
      <c r="D14" s="43">
        <f t="shared" si="1"/>
        <v>0.7499073571</v>
      </c>
      <c r="E14" s="35"/>
      <c r="F14" s="37"/>
    </row>
    <row r="15" ht="12.75" customHeight="1">
      <c r="A15" s="41" t="s">
        <v>32</v>
      </c>
      <c r="B15" s="42">
        <v>4.80402261E8</v>
      </c>
      <c r="C15" s="42">
        <v>3.84511178E8</v>
      </c>
      <c r="D15" s="43">
        <f t="shared" si="1"/>
        <v>0.8003941888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45946</v>
      </c>
      <c r="C2" s="8" t="s">
        <v>5</v>
      </c>
      <c r="D2" s="9">
        <f>ERT_VFE_SES!D2</f>
        <v>45930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8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1.83540762E8</v>
      </c>
      <c r="C6" s="48">
        <v>1.410323E8</v>
      </c>
      <c r="D6" s="49">
        <f t="shared" ref="D6:D33" si="1">C6/B6</f>
        <v>0.7683977034</v>
      </c>
      <c r="E6" s="46"/>
      <c r="F6" s="46"/>
    </row>
    <row r="7" ht="12.75" customHeight="1">
      <c r="A7" s="50" t="s">
        <v>35</v>
      </c>
      <c r="B7" s="51">
        <v>9.1029516E7</v>
      </c>
      <c r="C7" s="51">
        <v>6.8961276E7</v>
      </c>
      <c r="D7" s="49">
        <f t="shared" si="1"/>
        <v>0.7575705005</v>
      </c>
      <c r="E7" s="46"/>
      <c r="F7" s="46"/>
    </row>
    <row r="8" ht="12.75" customHeight="1">
      <c r="A8" s="50" t="s">
        <v>36</v>
      </c>
      <c r="B8" s="51">
        <v>2.13965183E8</v>
      </c>
      <c r="C8" s="51">
        <v>1.63221688E8</v>
      </c>
      <c r="D8" s="49">
        <f t="shared" si="1"/>
        <v>0.7628422798</v>
      </c>
      <c r="E8" s="46"/>
      <c r="F8" s="46"/>
    </row>
    <row r="9" ht="12.75" customHeight="1">
      <c r="A9" s="50" t="s">
        <v>37</v>
      </c>
      <c r="B9" s="51">
        <v>1.60049722E8</v>
      </c>
      <c r="C9" s="51">
        <v>1.19452463E8</v>
      </c>
      <c r="D9" s="49">
        <f t="shared" si="1"/>
        <v>0.7463459574</v>
      </c>
      <c r="E9" s="46"/>
      <c r="F9" s="46"/>
    </row>
    <row r="10" ht="12.75" customHeight="1">
      <c r="A10" s="50" t="s">
        <v>38</v>
      </c>
      <c r="B10" s="51">
        <v>8.3189939E7</v>
      </c>
      <c r="C10" s="51">
        <v>5.5307355E7</v>
      </c>
      <c r="D10" s="49">
        <f t="shared" si="1"/>
        <v>0.6648322581</v>
      </c>
      <c r="E10" s="46"/>
      <c r="F10" s="46"/>
    </row>
    <row r="11" ht="12.75" customHeight="1">
      <c r="A11" s="50" t="s">
        <v>39</v>
      </c>
      <c r="B11" s="51">
        <v>9.9809801E7</v>
      </c>
      <c r="C11" s="51">
        <v>7.7482685E7</v>
      </c>
      <c r="D11" s="49">
        <f t="shared" si="1"/>
        <v>0.7763033712</v>
      </c>
      <c r="E11" s="46"/>
      <c r="F11" s="46"/>
    </row>
    <row r="12" ht="12.75" customHeight="1">
      <c r="A12" s="50" t="s">
        <v>40</v>
      </c>
      <c r="B12" s="51">
        <v>6.2646664E7</v>
      </c>
      <c r="C12" s="51">
        <v>4.9030335E7</v>
      </c>
      <c r="D12" s="49">
        <f t="shared" si="1"/>
        <v>0.7826487776</v>
      </c>
      <c r="E12" s="46"/>
      <c r="F12" s="46"/>
    </row>
    <row r="13" ht="12.75" customHeight="1">
      <c r="A13" s="50" t="s">
        <v>41</v>
      </c>
      <c r="B13" s="48">
        <v>2.1714745E7</v>
      </c>
      <c r="C13" s="48">
        <v>1.6660281E7</v>
      </c>
      <c r="D13" s="49">
        <f t="shared" si="1"/>
        <v>0.7672335549</v>
      </c>
      <c r="E13" s="46"/>
      <c r="F13" s="46"/>
    </row>
    <row r="14" ht="12.75" customHeight="1">
      <c r="A14" s="50" t="s">
        <v>42</v>
      </c>
      <c r="B14" s="48">
        <v>2.1152761E7</v>
      </c>
      <c r="C14" s="48">
        <v>1.4434839E7</v>
      </c>
      <c r="D14" s="49">
        <f t="shared" si="1"/>
        <v>0.6824092136</v>
      </c>
      <c r="E14" s="46"/>
      <c r="F14" s="46"/>
    </row>
    <row r="15" ht="12.75" customHeight="1">
      <c r="A15" s="50" t="s">
        <v>43</v>
      </c>
      <c r="B15" s="51">
        <v>1.188092844E9</v>
      </c>
      <c r="C15" s="51">
        <v>9.46507106E8</v>
      </c>
      <c r="D15" s="49">
        <f t="shared" si="1"/>
        <v>0.7966608929</v>
      </c>
      <c r="E15" s="46"/>
      <c r="F15" s="46"/>
    </row>
    <row r="16" ht="12.75" customHeight="1">
      <c r="A16" s="50" t="s">
        <v>44</v>
      </c>
      <c r="B16" s="51">
        <v>5.90272612E8</v>
      </c>
      <c r="C16" s="51">
        <v>4.55212087E8</v>
      </c>
      <c r="D16" s="49">
        <f t="shared" si="1"/>
        <v>0.7711895788</v>
      </c>
      <c r="E16" s="46"/>
      <c r="F16" s="46"/>
    </row>
    <row r="17" ht="12.75" customHeight="1">
      <c r="A17" s="50" t="s">
        <v>45</v>
      </c>
      <c r="B17" s="51">
        <v>3.8230086E8</v>
      </c>
      <c r="C17" s="51">
        <v>2.75788339E8</v>
      </c>
      <c r="D17" s="49">
        <f t="shared" si="1"/>
        <v>0.7213908412</v>
      </c>
      <c r="E17" s="46"/>
      <c r="F17" s="46"/>
    </row>
    <row r="18" ht="12.75" customHeight="1">
      <c r="A18" s="50" t="s">
        <v>46</v>
      </c>
      <c r="B18" s="51">
        <v>1.73762886E8</v>
      </c>
      <c r="C18" s="51">
        <v>1.34202611E8</v>
      </c>
      <c r="D18" s="49">
        <f t="shared" si="1"/>
        <v>0.7723318488</v>
      </c>
      <c r="E18" s="46"/>
      <c r="F18" s="46"/>
    </row>
    <row r="19" ht="12.75" customHeight="1">
      <c r="A19" s="50" t="s">
        <v>47</v>
      </c>
      <c r="B19" s="51">
        <v>1.03924002E8</v>
      </c>
      <c r="C19" s="51">
        <v>8.4018931E7</v>
      </c>
      <c r="D19" s="49">
        <f t="shared" si="1"/>
        <v>0.8084651224</v>
      </c>
      <c r="E19" s="46"/>
      <c r="F19" s="46"/>
    </row>
    <row r="20" ht="12.75" customHeight="1">
      <c r="A20" s="50" t="s">
        <v>48</v>
      </c>
      <c r="B20" s="51">
        <v>5.59043622E8</v>
      </c>
      <c r="C20" s="51">
        <v>4.10871692E8</v>
      </c>
      <c r="D20" s="49">
        <f t="shared" si="1"/>
        <v>0.7349546186</v>
      </c>
      <c r="E20" s="46"/>
      <c r="F20" s="46"/>
    </row>
    <row r="21" ht="12.75" customHeight="1">
      <c r="A21" s="50" t="s">
        <v>49</v>
      </c>
      <c r="B21" s="51">
        <v>2.4042856E7</v>
      </c>
      <c r="C21" s="51">
        <v>1.8367033E7</v>
      </c>
      <c r="D21" s="49">
        <f t="shared" si="1"/>
        <v>0.7639289193</v>
      </c>
      <c r="E21" s="46"/>
      <c r="F21" s="46"/>
    </row>
    <row r="22" ht="12.75" customHeight="1">
      <c r="A22" s="50" t="s">
        <v>50</v>
      </c>
      <c r="B22" s="51">
        <v>1.8576159E7</v>
      </c>
      <c r="C22" s="51">
        <v>1.2950675E7</v>
      </c>
      <c r="D22" s="49">
        <f t="shared" si="1"/>
        <v>0.6971664594</v>
      </c>
      <c r="E22" s="46"/>
      <c r="F22" s="46"/>
    </row>
    <row r="23" ht="12.75" customHeight="1">
      <c r="A23" s="50" t="s">
        <v>51</v>
      </c>
      <c r="B23" s="51">
        <v>4.6508536E7</v>
      </c>
      <c r="C23" s="51">
        <v>3.6786325E7</v>
      </c>
      <c r="D23" s="49">
        <f t="shared" si="1"/>
        <v>0.7909585673</v>
      </c>
      <c r="E23" s="46"/>
      <c r="F23" s="46"/>
    </row>
    <row r="24" ht="12.75" customHeight="1">
      <c r="A24" s="50" t="s">
        <v>52</v>
      </c>
      <c r="B24" s="51">
        <v>9.5596483E7</v>
      </c>
      <c r="C24" s="51">
        <v>7.504984E7</v>
      </c>
      <c r="D24" s="49">
        <f t="shared" si="1"/>
        <v>0.785069049</v>
      </c>
      <c r="E24" s="46"/>
      <c r="F24" s="46"/>
    </row>
    <row r="25" ht="12.75" customHeight="1">
      <c r="A25" s="50" t="s">
        <v>53</v>
      </c>
      <c r="B25" s="51">
        <v>9.4502876E7</v>
      </c>
      <c r="C25" s="51">
        <v>7.4946274E7</v>
      </c>
      <c r="D25" s="49">
        <f t="shared" si="1"/>
        <v>0.7930581287</v>
      </c>
      <c r="E25" s="46"/>
      <c r="F25" s="46"/>
    </row>
    <row r="26" ht="12.75" customHeight="1">
      <c r="A26" s="50" t="s">
        <v>54</v>
      </c>
      <c r="B26" s="51">
        <v>1.6439537E8</v>
      </c>
      <c r="C26" s="51">
        <v>1.22575627E8</v>
      </c>
      <c r="D26" s="49">
        <f t="shared" si="1"/>
        <v>0.745614837</v>
      </c>
      <c r="E26" s="46"/>
      <c r="F26" s="46"/>
    </row>
    <row r="27" ht="12.75" customHeight="1">
      <c r="A27" s="50" t="s">
        <v>55</v>
      </c>
      <c r="B27" s="51">
        <v>2.01066565E8</v>
      </c>
      <c r="C27" s="51">
        <v>1.52667891E8</v>
      </c>
      <c r="D27" s="49">
        <f t="shared" si="1"/>
        <v>0.7592902927</v>
      </c>
      <c r="E27" s="46"/>
      <c r="F27" s="46"/>
    </row>
    <row r="28" ht="12.75" customHeight="1">
      <c r="A28" s="50" t="s">
        <v>56</v>
      </c>
      <c r="B28" s="51">
        <v>2.71697458E8</v>
      </c>
      <c r="C28" s="51">
        <v>2.11154939E8</v>
      </c>
      <c r="D28" s="49">
        <f t="shared" si="1"/>
        <v>0.777169358</v>
      </c>
      <c r="E28" s="46"/>
      <c r="F28" s="46"/>
    </row>
    <row r="29" ht="12.75" customHeight="1">
      <c r="A29" s="50" t="s">
        <v>57</v>
      </c>
      <c r="B29" s="51">
        <v>5.0818309E7</v>
      </c>
      <c r="C29" s="51">
        <v>3.9331667E7</v>
      </c>
      <c r="D29" s="49">
        <f t="shared" si="1"/>
        <v>0.7739664655</v>
      </c>
      <c r="E29" s="46"/>
      <c r="F29" s="46"/>
    </row>
    <row r="30" ht="12.75" customHeight="1">
      <c r="A30" s="50" t="s">
        <v>58</v>
      </c>
      <c r="B30" s="51">
        <v>3.9398756E7</v>
      </c>
      <c r="C30" s="51">
        <v>3.012409E7</v>
      </c>
      <c r="D30" s="49">
        <f t="shared" si="1"/>
        <v>0.7645949532</v>
      </c>
      <c r="E30" s="46"/>
      <c r="F30" s="46"/>
    </row>
    <row r="31" ht="12.75" customHeight="1">
      <c r="A31" s="50" t="s">
        <v>59</v>
      </c>
      <c r="B31" s="51">
        <v>7.07610954E8</v>
      </c>
      <c r="C31" s="51">
        <v>5.28755864E8</v>
      </c>
      <c r="D31" s="49">
        <f t="shared" si="1"/>
        <v>0.7472409253</v>
      </c>
      <c r="E31" s="46"/>
      <c r="F31" s="46"/>
    </row>
    <row r="32" ht="12.75" customHeight="1">
      <c r="A32" s="50" t="s">
        <v>60</v>
      </c>
      <c r="B32" s="51">
        <v>1.13711824E8</v>
      </c>
      <c r="C32" s="51">
        <v>8.7769003E7</v>
      </c>
      <c r="D32" s="49">
        <f t="shared" si="1"/>
        <v>0.7718546754</v>
      </c>
      <c r="E32" s="46"/>
      <c r="F32" s="46"/>
    </row>
    <row r="33" ht="12.75" customHeight="1">
      <c r="A33" s="50" t="s">
        <v>61</v>
      </c>
      <c r="B33" s="51">
        <v>7.8974215E7</v>
      </c>
      <c r="C33" s="51">
        <v>5.9552971E7</v>
      </c>
      <c r="D33" s="49">
        <f t="shared" si="1"/>
        <v>0.7540812023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