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<sst xmlns="http://schemas.openxmlformats.org/spreadsheetml/2006/main" count="62" uniqueCount="57">
  <si>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</si>
  <si>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</si>
  <si>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</si>
  <si>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</si>
  <si>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</si>
  <si>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</si>
  <si>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</si>
  <si>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</si>
  <si>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</si>
  <si>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</si>
  <si>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</si>
  <si>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JAN-NOV</t>
  </si>
  <si>
    <t>SOURCE: CRCO</t>
  </si>
  <si>
    <t>En-route service units</t>
  </si>
  <si>
    <t>Actual [2024]</t>
  </si>
  <si>
    <t>Daily ER SU [2024]</t>
  </si>
  <si>
    <t>Actual [2025]</t>
  </si>
  <si>
    <t>Daily ER SU [actual, 2025]</t>
  </si>
  <si>
    <t>25/24 (%)</t>
  </si>
  <si>
    <t>Det. [2025]</t>
  </si>
  <si>
    <t>Daily ER SU [2025]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</si>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</sst>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  <xf borderId="0" fillId="3" fontId="14" numFmtId="164" xfId="0" applyAlignment="1" applyFont="1" applyNumberFormat="1">
      <alignment horizontal="center" readingOrder="0" shrinkToFit="0" vertical="bottom" wrapText="0"/>
    </xf>
    <xf borderId="0" fillId="3" fontId="12" numFmtId="17" xfId="0" applyAlignment="1" applyFont="1" applyNumberFormat="1">
      <alignment vertical="bottom"/>
    </xf>
    <xf borderId="0" fillId="3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46008.0</v>
      </c>
      <c r="C2" s="10" t="s">
        <v>7</v>
      </c>
      <c r="D2" s="11">
        <v>45991.0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335.0</v>
      </c>
      <c r="D4" s="22"/>
      <c r="E4" s="21">
        <v>334.0</v>
      </c>
      <c r="F4" s="22"/>
      <c r="G4" s="22"/>
      <c r="H4" s="21">
        <v>334.0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121820578</v>
      </c>
      <c r="C6" s="26">
        <f t="shared" ref="C6:C35" si="1">B6/C$4</f>
        <v>363643.5164</v>
      </c>
      <c r="D6" s="26">
        <f>sum(D7:D35)</f>
        <v>128335692</v>
      </c>
      <c r="E6" s="26">
        <f t="shared" ref="E6:E35" si="2">D6/E$4</f>
        <v>384238.5988</v>
      </c>
      <c r="F6" s="27">
        <f t="shared" ref="F6:F35" si="3">E6/C6-1</f>
        <v>0.05663536253</v>
      </c>
      <c r="G6" s="26">
        <f>sum(G7:G35)</f>
        <v>125443077</v>
      </c>
      <c r="H6" s="26">
        <f t="shared" ref="H6:H35" si="4">G6/H$4</f>
        <v>375578.0749</v>
      </c>
      <c r="I6" s="27">
        <f t="shared" ref="I6:I35" si="5">D6/G6-1</f>
        <v>0.02305918405</v>
      </c>
    </row>
    <row r="7" ht="12.75" customHeight="1">
      <c r="A7" s="25" t="s">
        <v>23</v>
      </c>
      <c r="B7" s="28">
        <v>3721558.0</v>
      </c>
      <c r="C7" s="26">
        <f t="shared" si="1"/>
        <v>11109.12836</v>
      </c>
      <c r="D7" s="28">
        <v>4209526.0</v>
      </c>
      <c r="E7" s="26">
        <f t="shared" si="2"/>
        <v>12603.37126</v>
      </c>
      <c r="F7" s="27">
        <f t="shared" si="3"/>
        <v>0.1345058632</v>
      </c>
      <c r="G7" s="28">
        <v>3863464.0</v>
      </c>
      <c r="H7" s="26">
        <f t="shared" si="4"/>
        <v>11567.25749</v>
      </c>
      <c r="I7" s="27">
        <f t="shared" si="5"/>
        <v>0.08957298424</v>
      </c>
    </row>
    <row r="8" ht="12.75" customHeight="1">
      <c r="A8" s="25" t="s">
        <v>24</v>
      </c>
      <c r="B8" s="28">
        <v>2322716.0</v>
      </c>
      <c r="C8" s="26">
        <f t="shared" si="1"/>
        <v>6933.480597</v>
      </c>
      <c r="D8" s="28">
        <v>2520131.0</v>
      </c>
      <c r="E8" s="26">
        <f t="shared" si="2"/>
        <v>7545.302395</v>
      </c>
      <c r="F8" s="27">
        <f t="shared" si="3"/>
        <v>0.08824165434</v>
      </c>
      <c r="G8" s="28">
        <v>2373031.0</v>
      </c>
      <c r="H8" s="26">
        <f t="shared" si="4"/>
        <v>7104.883234</v>
      </c>
      <c r="I8" s="27">
        <f t="shared" si="5"/>
        <v>0.06198823361</v>
      </c>
    </row>
    <row r="9" ht="12.75" customHeight="1">
      <c r="A9" s="25" t="s">
        <v>25</v>
      </c>
      <c r="B9" s="28">
        <v>4630649.0</v>
      </c>
      <c r="C9" s="26">
        <f t="shared" si="1"/>
        <v>13822.83284</v>
      </c>
      <c r="D9" s="28">
        <v>5080726.0</v>
      </c>
      <c r="E9" s="26">
        <f t="shared" si="2"/>
        <v>15211.75449</v>
      </c>
      <c r="F9" s="27">
        <f t="shared" si="3"/>
        <v>0.1004802468</v>
      </c>
      <c r="G9" s="28">
        <v>4899759.0</v>
      </c>
      <c r="H9" s="26">
        <f t="shared" si="4"/>
        <v>14669.93713</v>
      </c>
      <c r="I9" s="27">
        <f t="shared" si="5"/>
        <v>0.03693385736</v>
      </c>
    </row>
    <row r="10" ht="12.75" customHeight="1">
      <c r="A10" s="25" t="s">
        <v>26</v>
      </c>
      <c r="B10" s="28">
        <v>2860843.0</v>
      </c>
      <c r="C10" s="26">
        <f t="shared" si="1"/>
        <v>8539.829851</v>
      </c>
      <c r="D10" s="28">
        <v>2993384.0</v>
      </c>
      <c r="E10" s="26">
        <f t="shared" si="2"/>
        <v>8962.227545</v>
      </c>
      <c r="F10" s="27">
        <f t="shared" si="3"/>
        <v>0.04946207378</v>
      </c>
      <c r="G10" s="28">
        <v>2818908.0</v>
      </c>
      <c r="H10" s="26">
        <f t="shared" si="4"/>
        <v>8439.844311</v>
      </c>
      <c r="I10" s="27">
        <f t="shared" si="5"/>
        <v>0.06189488979</v>
      </c>
    </row>
    <row r="11" ht="12.75" customHeight="1">
      <c r="A11" s="25" t="s">
        <v>27</v>
      </c>
      <c r="B11" s="28">
        <v>1699260.0</v>
      </c>
      <c r="C11" s="26">
        <f t="shared" si="1"/>
        <v>5072.41791</v>
      </c>
      <c r="D11" s="28">
        <v>1905631.0</v>
      </c>
      <c r="E11" s="26">
        <f t="shared" si="2"/>
        <v>5705.482036</v>
      </c>
      <c r="F11" s="27">
        <f t="shared" si="3"/>
        <v>0.1248051988</v>
      </c>
      <c r="G11" s="28">
        <v>1720396.0</v>
      </c>
      <c r="H11" s="26">
        <f t="shared" si="4"/>
        <v>5150.886228</v>
      </c>
      <c r="I11" s="27">
        <f t="shared" si="5"/>
        <v>0.1076699783</v>
      </c>
    </row>
    <row r="12" ht="12.75" customHeight="1">
      <c r="A12" s="25" t="s">
        <v>28</v>
      </c>
      <c r="B12" s="28">
        <v>2181950.0</v>
      </c>
      <c r="C12" s="26">
        <f t="shared" si="1"/>
        <v>6513.283582</v>
      </c>
      <c r="D12" s="28">
        <v>2288320.0</v>
      </c>
      <c r="E12" s="26">
        <f t="shared" si="2"/>
        <v>6851.257485</v>
      </c>
      <c r="F12" s="27">
        <f t="shared" si="3"/>
        <v>0.05188994133</v>
      </c>
      <c r="G12" s="28">
        <v>2287302.0</v>
      </c>
      <c r="H12" s="26">
        <f t="shared" si="4"/>
        <v>6848.209581</v>
      </c>
      <c r="I12" s="27">
        <f t="shared" si="5"/>
        <v>0.0004450658461</v>
      </c>
    </row>
    <row r="13" ht="12.75" customHeight="1">
      <c r="A13" s="25" t="s">
        <v>29</v>
      </c>
      <c r="B13" s="28">
        <v>1448747.0</v>
      </c>
      <c r="C13" s="26">
        <f t="shared" si="1"/>
        <v>4324.61791</v>
      </c>
      <c r="D13" s="28">
        <v>1434771.0</v>
      </c>
      <c r="E13" s="26">
        <f t="shared" si="2"/>
        <v>4295.721557</v>
      </c>
      <c r="F13" s="27">
        <f t="shared" si="3"/>
        <v>-0.00668182812</v>
      </c>
      <c r="G13" s="28">
        <v>1494722.0</v>
      </c>
      <c r="H13" s="26">
        <f t="shared" si="4"/>
        <v>4475.215569</v>
      </c>
      <c r="I13" s="27">
        <f t="shared" si="5"/>
        <v>-0.04010846164</v>
      </c>
    </row>
    <row r="14" ht="12.75" customHeight="1">
      <c r="A14" s="25" t="s">
        <v>30</v>
      </c>
      <c r="B14" s="28">
        <v>509162.0</v>
      </c>
      <c r="C14" s="26">
        <f t="shared" si="1"/>
        <v>1519.886567</v>
      </c>
      <c r="D14" s="28">
        <v>595360.0</v>
      </c>
      <c r="E14" s="26">
        <f t="shared" si="2"/>
        <v>1782.51497</v>
      </c>
      <c r="F14" s="27">
        <f t="shared" si="3"/>
        <v>0.1727947391</v>
      </c>
      <c r="G14" s="28">
        <v>522767.0</v>
      </c>
      <c r="H14" s="26">
        <f t="shared" si="4"/>
        <v>1565.170659</v>
      </c>
      <c r="I14" s="27">
        <f t="shared" si="5"/>
        <v>0.1388630116</v>
      </c>
    </row>
    <row r="15" ht="12.75" customHeight="1">
      <c r="A15" s="25" t="s">
        <v>31</v>
      </c>
      <c r="B15" s="28">
        <v>688017.0</v>
      </c>
      <c r="C15" s="26">
        <f t="shared" si="1"/>
        <v>2053.78209</v>
      </c>
      <c r="D15" s="28">
        <v>608350.0</v>
      </c>
      <c r="E15" s="26">
        <f t="shared" si="2"/>
        <v>1821.407186</v>
      </c>
      <c r="F15" s="27">
        <f t="shared" si="3"/>
        <v>-0.1131448682</v>
      </c>
      <c r="G15" s="28">
        <v>745001.0</v>
      </c>
      <c r="H15" s="26">
        <f t="shared" si="4"/>
        <v>2230.541916</v>
      </c>
      <c r="I15" s="27">
        <f t="shared" si="5"/>
        <v>-0.1834239149</v>
      </c>
    </row>
    <row r="16" ht="12.75" customHeight="1">
      <c r="A16" s="25" t="s">
        <v>32</v>
      </c>
      <c r="B16" s="28">
        <v>2.1088639E7</v>
      </c>
      <c r="C16" s="26">
        <f t="shared" si="1"/>
        <v>62951.16119</v>
      </c>
      <c r="D16" s="28">
        <v>2.1881646E7</v>
      </c>
      <c r="E16" s="26">
        <f t="shared" si="2"/>
        <v>65513.91018</v>
      </c>
      <c r="F16" s="27">
        <f t="shared" si="3"/>
        <v>0.04071011459</v>
      </c>
      <c r="G16" s="28">
        <v>2.1174175E7</v>
      </c>
      <c r="H16" s="26">
        <f t="shared" si="4"/>
        <v>63395.73353</v>
      </c>
      <c r="I16" s="27">
        <f t="shared" si="5"/>
        <v>0.03341197473</v>
      </c>
    </row>
    <row r="17" ht="12.75" customHeight="1">
      <c r="A17" s="25" t="s">
        <v>33</v>
      </c>
      <c r="B17" s="28">
        <v>1.3344282E7</v>
      </c>
      <c r="C17" s="26">
        <f t="shared" si="1"/>
        <v>39833.67761</v>
      </c>
      <c r="D17" s="28">
        <v>1.3859448E7</v>
      </c>
      <c r="E17" s="26">
        <f t="shared" si="2"/>
        <v>41495.35329</v>
      </c>
      <c r="F17" s="27">
        <f t="shared" si="3"/>
        <v>0.04171534694</v>
      </c>
      <c r="G17" s="28">
        <v>1.3594977E7</v>
      </c>
      <c r="H17" s="26">
        <f t="shared" si="4"/>
        <v>40703.52395</v>
      </c>
      <c r="I17" s="27">
        <f t="shared" si="5"/>
        <v>0.01945358201</v>
      </c>
    </row>
    <row r="18" ht="12.75" customHeight="1">
      <c r="A18" s="25" t="s">
        <v>34</v>
      </c>
      <c r="B18" s="28">
        <v>7200242.0</v>
      </c>
      <c r="C18" s="26">
        <f t="shared" si="1"/>
        <v>21493.2597</v>
      </c>
      <c r="D18" s="28">
        <v>7635477.0</v>
      </c>
      <c r="E18" s="26">
        <f t="shared" si="2"/>
        <v>22860.70958</v>
      </c>
      <c r="F18" s="27">
        <f t="shared" si="3"/>
        <v>0.06362226569</v>
      </c>
      <c r="G18" s="28">
        <v>7319532.0</v>
      </c>
      <c r="H18" s="26">
        <f t="shared" si="4"/>
        <v>21914.76647</v>
      </c>
      <c r="I18" s="27">
        <f t="shared" si="5"/>
        <v>0.04316464495</v>
      </c>
    </row>
    <row r="19" ht="12.75" customHeight="1">
      <c r="A19" s="25" t="s">
        <v>35</v>
      </c>
      <c r="B19" s="28">
        <v>3585230.0</v>
      </c>
      <c r="C19" s="26">
        <f t="shared" si="1"/>
        <v>10702.1791</v>
      </c>
      <c r="D19" s="28">
        <v>4032852.0</v>
      </c>
      <c r="E19" s="26">
        <f t="shared" si="2"/>
        <v>12074.40719</v>
      </c>
      <c r="F19" s="27">
        <f t="shared" si="3"/>
        <v>0.1282195026</v>
      </c>
      <c r="G19" s="28">
        <v>3678619.0</v>
      </c>
      <c r="H19" s="26">
        <f t="shared" si="4"/>
        <v>11013.82934</v>
      </c>
      <c r="I19" s="27">
        <f t="shared" si="5"/>
        <v>0.09629510422</v>
      </c>
    </row>
    <row r="20" ht="12.75" customHeight="1">
      <c r="A20" s="25" t="s">
        <v>36</v>
      </c>
      <c r="B20" s="28">
        <v>4624554.0</v>
      </c>
      <c r="C20" s="26">
        <f t="shared" si="1"/>
        <v>13804.63881</v>
      </c>
      <c r="D20" s="28">
        <v>4800087.0</v>
      </c>
      <c r="E20" s="26">
        <f t="shared" si="2"/>
        <v>14371.51796</v>
      </c>
      <c r="F20" s="27">
        <f t="shared" si="3"/>
        <v>0.04106439626</v>
      </c>
      <c r="G20" s="28">
        <v>4797532.0</v>
      </c>
      <c r="H20" s="26">
        <f t="shared" si="4"/>
        <v>14363.86826</v>
      </c>
      <c r="I20" s="27">
        <f t="shared" si="5"/>
        <v>0.0005325654941</v>
      </c>
    </row>
    <row r="21" ht="12.75" customHeight="1">
      <c r="A21" s="25" t="s">
        <v>37</v>
      </c>
      <c r="B21" s="28">
        <v>1.0939432E7</v>
      </c>
      <c r="C21" s="26">
        <f t="shared" si="1"/>
        <v>32655.0209</v>
      </c>
      <c r="D21" s="28">
        <v>1.1573304E7</v>
      </c>
      <c r="E21" s="26">
        <f t="shared" si="2"/>
        <v>34650.61078</v>
      </c>
      <c r="F21" s="27">
        <f t="shared" si="3"/>
        <v>0.06111127258</v>
      </c>
      <c r="G21" s="28">
        <v>1.1613929E7</v>
      </c>
      <c r="H21" s="26">
        <f t="shared" si="4"/>
        <v>34772.24251</v>
      </c>
      <c r="I21" s="27">
        <f t="shared" si="5"/>
        <v>-0.003497954913</v>
      </c>
    </row>
    <row r="22" ht="12.75" customHeight="1">
      <c r="A22" s="25" t="s">
        <v>38</v>
      </c>
      <c r="B22" s="28">
        <v>531194.0</v>
      </c>
      <c r="C22" s="26">
        <f t="shared" si="1"/>
        <v>1585.653731</v>
      </c>
      <c r="D22" s="28">
        <v>568722.0</v>
      </c>
      <c r="E22" s="26">
        <f t="shared" si="2"/>
        <v>1702.760479</v>
      </c>
      <c r="F22" s="27">
        <f t="shared" si="3"/>
        <v>0.07385392244</v>
      </c>
      <c r="G22" s="28">
        <v>533383.0</v>
      </c>
      <c r="H22" s="26">
        <f t="shared" si="4"/>
        <v>1596.95509</v>
      </c>
      <c r="I22" s="27">
        <f t="shared" si="5"/>
        <v>0.06625445505</v>
      </c>
    </row>
    <row r="23" ht="12.75" customHeight="1">
      <c r="A23" s="25" t="s">
        <v>39</v>
      </c>
      <c r="B23" s="28">
        <v>423417.0</v>
      </c>
      <c r="C23" s="26">
        <f t="shared" si="1"/>
        <v>1263.931343</v>
      </c>
      <c r="D23" s="28">
        <v>458603.0</v>
      </c>
      <c r="E23" s="26">
        <f t="shared" si="2"/>
        <v>1373.062874</v>
      </c>
      <c r="F23" s="27">
        <f t="shared" si="3"/>
        <v>0.08634292642</v>
      </c>
      <c r="G23" s="28">
        <v>445695.0</v>
      </c>
      <c r="H23" s="26">
        <f t="shared" si="4"/>
        <v>1334.416168</v>
      </c>
      <c r="I23" s="27">
        <f t="shared" si="5"/>
        <v>0.02896150955</v>
      </c>
    </row>
    <row r="24" ht="12.75" customHeight="1">
      <c r="A24" s="25" t="s">
        <v>40</v>
      </c>
      <c r="B24" s="28">
        <v>1016708.0</v>
      </c>
      <c r="C24" s="26">
        <f t="shared" si="1"/>
        <v>3034.949254</v>
      </c>
      <c r="D24" s="28">
        <v>1175563.0</v>
      </c>
      <c r="E24" s="26">
        <f t="shared" si="2"/>
        <v>3519.649701</v>
      </c>
      <c r="F24" s="27">
        <f t="shared" si="3"/>
        <v>0.1597062772</v>
      </c>
      <c r="G24" s="28">
        <v>1068073.0</v>
      </c>
      <c r="H24" s="26">
        <f t="shared" si="4"/>
        <v>3197.823353</v>
      </c>
      <c r="I24" s="27">
        <f t="shared" si="5"/>
        <v>0.1006391885</v>
      </c>
    </row>
    <row r="25" ht="12.75" customHeight="1">
      <c r="A25" s="25" t="s">
        <v>41</v>
      </c>
      <c r="B25" s="28">
        <v>2775893.0</v>
      </c>
      <c r="C25" s="26">
        <f t="shared" si="1"/>
        <v>8286.247761</v>
      </c>
      <c r="D25" s="28">
        <v>2675469.0</v>
      </c>
      <c r="E25" s="26">
        <f t="shared" si="2"/>
        <v>8010.386228</v>
      </c>
      <c r="F25" s="27">
        <f t="shared" si="3"/>
        <v>-0.0332914899</v>
      </c>
      <c r="G25" s="28">
        <v>2862607.0</v>
      </c>
      <c r="H25" s="26">
        <f t="shared" si="4"/>
        <v>8570.679641</v>
      </c>
      <c r="I25" s="27">
        <f t="shared" si="5"/>
        <v>-0.06537327688</v>
      </c>
    </row>
    <row r="26" ht="12.75" customHeight="1">
      <c r="A26" s="25" t="s">
        <v>42</v>
      </c>
      <c r="B26" s="28">
        <v>2269929.0</v>
      </c>
      <c r="C26" s="26">
        <f t="shared" si="1"/>
        <v>6775.907463</v>
      </c>
      <c r="D26" s="28">
        <v>2268689.0</v>
      </c>
      <c r="E26" s="26">
        <f t="shared" si="2"/>
        <v>6792.482036</v>
      </c>
      <c r="F26" s="27">
        <f t="shared" si="3"/>
        <v>0.002446103837</v>
      </c>
      <c r="G26" s="28">
        <v>2299559.0</v>
      </c>
      <c r="H26" s="26">
        <f t="shared" si="4"/>
        <v>6884.907186</v>
      </c>
      <c r="I26" s="27">
        <f t="shared" si="5"/>
        <v>-0.0134243131</v>
      </c>
    </row>
    <row r="27" ht="12.75" customHeight="1">
      <c r="A27" s="25" t="s">
        <v>43</v>
      </c>
      <c r="B27" s="28">
        <v>3541455.0</v>
      </c>
      <c r="C27" s="26">
        <f t="shared" si="1"/>
        <v>10571.50746</v>
      </c>
      <c r="D27" s="28">
        <v>3656369.0</v>
      </c>
      <c r="E27" s="26">
        <f t="shared" si="2"/>
        <v>10947.21257</v>
      </c>
      <c r="F27" s="27">
        <f t="shared" si="3"/>
        <v>0.03553940755</v>
      </c>
      <c r="G27" s="28">
        <v>3764171.0</v>
      </c>
      <c r="H27" s="26">
        <f t="shared" si="4"/>
        <v>11269.97305</v>
      </c>
      <c r="I27" s="27">
        <f t="shared" si="5"/>
        <v>-0.02863897522</v>
      </c>
    </row>
    <row r="28" ht="12.75" customHeight="1">
      <c r="A28" s="25" t="s">
        <v>44</v>
      </c>
      <c r="B28" s="28">
        <v>4124154.0</v>
      </c>
      <c r="C28" s="26">
        <f t="shared" si="1"/>
        <v>12310.90746</v>
      </c>
      <c r="D28" s="28">
        <v>4448316.0</v>
      </c>
      <c r="E28" s="26">
        <f t="shared" si="2"/>
        <v>13318.31138</v>
      </c>
      <c r="F28" s="27">
        <f t="shared" si="3"/>
        <v>0.08183019145</v>
      </c>
      <c r="G28" s="28">
        <v>4303298.0</v>
      </c>
      <c r="H28" s="26">
        <f t="shared" si="4"/>
        <v>12884.12575</v>
      </c>
      <c r="I28" s="27">
        <f t="shared" si="5"/>
        <v>0.03369926972</v>
      </c>
    </row>
    <row r="29" ht="12.75" customHeight="1">
      <c r="A29" s="25" t="s">
        <v>45</v>
      </c>
      <c r="B29" s="28">
        <v>5837353.0</v>
      </c>
      <c r="C29" s="26">
        <f t="shared" si="1"/>
        <v>17424.93433</v>
      </c>
      <c r="D29" s="28">
        <v>6386742.0</v>
      </c>
      <c r="E29" s="26">
        <f t="shared" si="2"/>
        <v>19121.98204</v>
      </c>
      <c r="F29" s="27">
        <f t="shared" si="3"/>
        <v>0.09739191412</v>
      </c>
      <c r="G29" s="28">
        <v>6209590.0</v>
      </c>
      <c r="H29" s="26">
        <f t="shared" si="4"/>
        <v>18591.58683</v>
      </c>
      <c r="I29" s="27">
        <f t="shared" si="5"/>
        <v>0.02852877565</v>
      </c>
    </row>
    <row r="30" ht="12.75" customHeight="1">
      <c r="A30" s="25" t="s">
        <v>46</v>
      </c>
      <c r="B30" s="28">
        <v>1146109.0</v>
      </c>
      <c r="C30" s="26">
        <f t="shared" si="1"/>
        <v>3421.220896</v>
      </c>
      <c r="D30" s="28">
        <v>1105438.0</v>
      </c>
      <c r="E30" s="26">
        <f t="shared" si="2"/>
        <v>3309.694611</v>
      </c>
      <c r="F30" s="27">
        <f t="shared" si="3"/>
        <v>-0.03259838758</v>
      </c>
      <c r="G30" s="28">
        <v>1190636.0</v>
      </c>
      <c r="H30" s="26">
        <f t="shared" si="4"/>
        <v>3564.778443</v>
      </c>
      <c r="I30" s="27">
        <f t="shared" si="5"/>
        <v>-0.07155671423</v>
      </c>
    </row>
    <row r="31" ht="12.75" customHeight="1">
      <c r="A31" s="25" t="s">
        <v>47</v>
      </c>
      <c r="B31" s="28">
        <v>671483.0</v>
      </c>
      <c r="C31" s="26">
        <f t="shared" si="1"/>
        <v>2004.426866</v>
      </c>
      <c r="D31" s="28">
        <v>745248.0</v>
      </c>
      <c r="E31" s="26">
        <f t="shared" si="2"/>
        <v>2231.281437</v>
      </c>
      <c r="F31" s="27">
        <f t="shared" si="3"/>
        <v>0.1131767765</v>
      </c>
      <c r="G31" s="28">
        <v>695414.0</v>
      </c>
      <c r="H31" s="26">
        <f t="shared" si="4"/>
        <v>2082.077844</v>
      </c>
      <c r="I31" s="27">
        <f t="shared" si="5"/>
        <v>0.0716609099</v>
      </c>
    </row>
    <row r="32" ht="12.75" customHeight="1">
      <c r="A32" s="25" t="s">
        <v>48</v>
      </c>
      <c r="B32" s="28">
        <v>1925167.0</v>
      </c>
      <c r="C32" s="26">
        <f t="shared" si="1"/>
        <v>5746.767164</v>
      </c>
      <c r="D32" s="28">
        <v>2109526.0</v>
      </c>
      <c r="E32" s="26">
        <f t="shared" si="2"/>
        <v>6315.946108</v>
      </c>
      <c r="F32" s="27">
        <f t="shared" si="3"/>
        <v>0.09904332773</v>
      </c>
      <c r="G32" s="28">
        <v>2001583.0</v>
      </c>
      <c r="H32" s="26">
        <f t="shared" si="4"/>
        <v>5992.763473</v>
      </c>
      <c r="I32" s="27">
        <f t="shared" si="5"/>
        <v>0.05392881534</v>
      </c>
    </row>
    <row r="33" ht="12.75" customHeight="1">
      <c r="A33" s="25" t="s">
        <v>49</v>
      </c>
      <c r="B33" s="28">
        <v>1.2360226E7</v>
      </c>
      <c r="C33" s="26">
        <f t="shared" si="1"/>
        <v>36896.19701</v>
      </c>
      <c r="D33" s="28">
        <v>1.3053963E7</v>
      </c>
      <c r="E33" s="26">
        <f t="shared" si="2"/>
        <v>39083.72156</v>
      </c>
      <c r="F33" s="27">
        <f t="shared" si="3"/>
        <v>0.05928861831</v>
      </c>
      <c r="G33" s="28">
        <v>1.2565599E7</v>
      </c>
      <c r="H33" s="26">
        <f t="shared" si="4"/>
        <v>37621.55389</v>
      </c>
      <c r="I33" s="27">
        <f t="shared" si="5"/>
        <v>0.03886515876</v>
      </c>
    </row>
    <row r="34" ht="12.75" customHeight="1">
      <c r="A34" s="25" t="s">
        <v>50</v>
      </c>
      <c r="B34" s="28">
        <v>2642202.0</v>
      </c>
      <c r="C34" s="26">
        <f t="shared" si="1"/>
        <v>7887.170149</v>
      </c>
      <c r="D34" s="28">
        <v>2630546.0</v>
      </c>
      <c r="E34" s="26">
        <f t="shared" si="2"/>
        <v>7875.886228</v>
      </c>
      <c r="F34" s="27">
        <f t="shared" si="3"/>
        <v>-0.00143066797</v>
      </c>
      <c r="G34" s="28">
        <v>2799864.0</v>
      </c>
      <c r="H34" s="26">
        <f t="shared" si="4"/>
        <v>8382.826347</v>
      </c>
      <c r="I34" s="27">
        <f t="shared" si="5"/>
        <v>-0.06047365158</v>
      </c>
    </row>
    <row r="35" ht="12.75" customHeight="1">
      <c r="A35" s="25" t="s">
        <v>51</v>
      </c>
      <c r="B35" s="28">
        <v>1710007.0</v>
      </c>
      <c r="C35" s="26">
        <f t="shared" si="1"/>
        <v>5104.498507</v>
      </c>
      <c r="D35" s="28">
        <v>1633485.0</v>
      </c>
      <c r="E35" s="26">
        <f t="shared" si="2"/>
        <v>4890.673653</v>
      </c>
      <c r="F35" s="27">
        <f t="shared" si="3"/>
        <v>-0.04188949305</v>
      </c>
      <c r="G35" s="28">
        <v>1799491.0</v>
      </c>
      <c r="H35" s="26">
        <f t="shared" si="4"/>
        <v>5387.697605</v>
      </c>
      <c r="I35" s="27">
        <f t="shared" si="5"/>
        <v>-0.09225164227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 t="s">
        <v>56</v>
      </c>
    </row>
    <row r="4" ht="12.0" customHeight="1">
      <c r="A4" s="32"/>
      <c r="B4" s="33"/>
      <c r="C4" s="34"/>
      <c r="D4" s="35"/>
    </row>
    <row r="5" ht="15.75" customHeight="1">
      <c r="A5" s="36"/>
      <c r="B5" s="37"/>
      <c r="C5" s="38"/>
      <c r="D5" s="39"/>
    </row>
  </sheetData>
  <drawing r:id="rId1"/>
</worksheet>
</file>