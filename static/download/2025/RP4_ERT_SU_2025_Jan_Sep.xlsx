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<sst xmlns="http://schemas.openxmlformats.org/spreadsheetml/2006/main" count="62" uniqueCount="57">
  <si>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</si>
  <si>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</si>
  <si>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</si>
  <si>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</si>
  <si>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</si>
  <si>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</si>
  <si>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</si>
  <si>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</si>
  <si>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</si>
  <si>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</si>
  <si>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</si>
  <si>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JAN-SEP</t>
  </si>
  <si>
    <t>SOURCE: CRCO</t>
  </si>
  <si>
    <t>En-route service units</t>
  </si>
  <si>
    <t>Actual [2024]</t>
  </si>
  <si>
    <t>Daily ER SU [2024]</t>
  </si>
  <si>
    <t>Actual [2025]</t>
  </si>
  <si>
    <t>Daily ER SU [actual, 2025]</t>
  </si>
  <si>
    <t>25/24 (%)</t>
  </si>
  <si>
    <t>Det. [2025]</t>
  </si>
  <si>
    <t>Daily ER SU [2025]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</si>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</sst>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  <xf borderId="0" fillId="3" fontId="14" numFmtId="164" xfId="0" applyAlignment="1" applyFont="1" applyNumberFormat="1">
      <alignment horizontal="center" readingOrder="0" shrinkToFit="0" vertical="bottom" wrapText="0"/>
    </xf>
    <xf borderId="0" fillId="3" fontId="12" numFmtId="17" xfId="0" applyAlignment="1" applyFont="1" applyNumberFormat="1">
      <alignment vertical="bottom"/>
    </xf>
    <xf borderId="0" fillId="3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45946.0</v>
      </c>
      <c r="C2" s="10" t="s">
        <v>7</v>
      </c>
      <c r="D2" s="11">
        <v>45930.0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274.0</v>
      </c>
      <c r="D4" s="22"/>
      <c r="E4" s="21">
        <v>273.0</v>
      </c>
      <c r="F4" s="22"/>
      <c r="G4" s="22"/>
      <c r="H4" s="21">
        <v>273.0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100189874</v>
      </c>
      <c r="C6" s="26">
        <f t="shared" ref="C6:C35" si="1">B6/C$4</f>
        <v>365656.4745</v>
      </c>
      <c r="D6" s="26">
        <f>sum(D7:D35)</f>
        <v>105471546</v>
      </c>
      <c r="E6" s="26">
        <f t="shared" ref="E6:E35" si="2">D6/E$4</f>
        <v>386342.6593</v>
      </c>
      <c r="F6" s="27">
        <f t="shared" ref="F6:F35" si="3">E6/C6-1</f>
        <v>0.05657272969</v>
      </c>
      <c r="G6" s="26">
        <f>sum(G7:G35)</f>
        <v>103175199</v>
      </c>
      <c r="H6" s="26">
        <f t="shared" ref="H6:H35" si="4">G6/H$4</f>
        <v>377931.1319</v>
      </c>
      <c r="I6" s="27">
        <f t="shared" ref="I6:I35" si="5">D6/G6-1</f>
        <v>0.02225677316</v>
      </c>
    </row>
    <row r="7" ht="12.75" customHeight="1">
      <c r="A7" s="25" t="s">
        <v>23</v>
      </c>
      <c r="B7" s="28">
        <v>3060216.0</v>
      </c>
      <c r="C7" s="26">
        <f t="shared" si="1"/>
        <v>11168.67153</v>
      </c>
      <c r="D7" s="28">
        <v>3433810.0</v>
      </c>
      <c r="E7" s="26">
        <f t="shared" si="2"/>
        <v>12578.05861</v>
      </c>
      <c r="F7" s="27">
        <f t="shared" si="3"/>
        <v>0.1261911115</v>
      </c>
      <c r="G7" s="28">
        <v>3176905.0</v>
      </c>
      <c r="H7" s="26">
        <f t="shared" si="4"/>
        <v>11637.01465</v>
      </c>
      <c r="I7" s="27">
        <f t="shared" si="5"/>
        <v>0.08086644077</v>
      </c>
    </row>
    <row r="8" ht="12.75" customHeight="1">
      <c r="A8" s="25" t="s">
        <v>24</v>
      </c>
      <c r="B8" s="28">
        <v>1910008.0</v>
      </c>
      <c r="C8" s="26">
        <f t="shared" si="1"/>
        <v>6970.832117</v>
      </c>
      <c r="D8" s="28">
        <v>2071292.0</v>
      </c>
      <c r="E8" s="26">
        <f t="shared" si="2"/>
        <v>7587.150183</v>
      </c>
      <c r="F8" s="27">
        <f t="shared" si="3"/>
        <v>0.08841384444</v>
      </c>
      <c r="G8" s="28">
        <v>1951382.0</v>
      </c>
      <c r="H8" s="26">
        <f t="shared" si="4"/>
        <v>7147.919414</v>
      </c>
      <c r="I8" s="27">
        <f t="shared" si="5"/>
        <v>0.06144875785</v>
      </c>
    </row>
    <row r="9" ht="12.75" customHeight="1">
      <c r="A9" s="25" t="s">
        <v>25</v>
      </c>
      <c r="B9" s="28">
        <v>3862617.0</v>
      </c>
      <c r="C9" s="26">
        <f t="shared" si="1"/>
        <v>14097.14234</v>
      </c>
      <c r="D9" s="28">
        <v>4118124.0</v>
      </c>
      <c r="E9" s="26">
        <f t="shared" si="2"/>
        <v>15084.7033</v>
      </c>
      <c r="F9" s="27">
        <f t="shared" si="3"/>
        <v>0.07005398239</v>
      </c>
      <c r="G9" s="28">
        <v>4087093.0</v>
      </c>
      <c r="H9" s="26">
        <f t="shared" si="4"/>
        <v>14971.03663</v>
      </c>
      <c r="I9" s="27">
        <f t="shared" si="5"/>
        <v>0.00759243795</v>
      </c>
    </row>
    <row r="10" ht="12.75" customHeight="1">
      <c r="A10" s="25" t="s">
        <v>26</v>
      </c>
      <c r="B10" s="28">
        <v>2356504.0</v>
      </c>
      <c r="C10" s="26">
        <f t="shared" si="1"/>
        <v>8600.379562</v>
      </c>
      <c r="D10" s="28">
        <v>2482896.0</v>
      </c>
      <c r="E10" s="26">
        <f t="shared" si="2"/>
        <v>9094.857143</v>
      </c>
      <c r="F10" s="27">
        <f t="shared" si="3"/>
        <v>0.05749485558</v>
      </c>
      <c r="G10" s="28">
        <v>2321961.0</v>
      </c>
      <c r="H10" s="26">
        <f t="shared" si="4"/>
        <v>8505.351648</v>
      </c>
      <c r="I10" s="27">
        <f t="shared" si="5"/>
        <v>0.06930994965</v>
      </c>
    </row>
    <row r="11" ht="12.75" customHeight="1">
      <c r="A11" s="25" t="s">
        <v>27</v>
      </c>
      <c r="B11" s="28">
        <v>1357623.0</v>
      </c>
      <c r="C11" s="26">
        <f t="shared" si="1"/>
        <v>4954.828467</v>
      </c>
      <c r="D11" s="28">
        <v>1556565.0</v>
      </c>
      <c r="E11" s="26">
        <f t="shared" si="2"/>
        <v>5701.703297</v>
      </c>
      <c r="F11" s="27">
        <f t="shared" si="3"/>
        <v>0.1507367681</v>
      </c>
      <c r="G11" s="28">
        <v>1374510.0</v>
      </c>
      <c r="H11" s="26">
        <f t="shared" si="4"/>
        <v>5034.835165</v>
      </c>
      <c r="I11" s="27">
        <f t="shared" si="5"/>
        <v>0.132450837</v>
      </c>
    </row>
    <row r="12" ht="12.75" customHeight="1">
      <c r="A12" s="25" t="s">
        <v>28</v>
      </c>
      <c r="B12" s="28">
        <v>1802086.0</v>
      </c>
      <c r="C12" s="26">
        <f t="shared" si="1"/>
        <v>6576.956204</v>
      </c>
      <c r="D12" s="28">
        <v>1873252.0</v>
      </c>
      <c r="E12" s="26">
        <f t="shared" si="2"/>
        <v>6861.728938</v>
      </c>
      <c r="F12" s="27">
        <f t="shared" si="3"/>
        <v>0.04329856008</v>
      </c>
      <c r="G12" s="28">
        <v>1889096.0</v>
      </c>
      <c r="H12" s="26">
        <f t="shared" si="4"/>
        <v>6919.765568</v>
      </c>
      <c r="I12" s="27">
        <f t="shared" si="5"/>
        <v>-0.008387080381</v>
      </c>
    </row>
    <row r="13" ht="12.75" customHeight="1">
      <c r="A13" s="25" t="s">
        <v>29</v>
      </c>
      <c r="B13" s="28">
        <v>1192538.0</v>
      </c>
      <c r="C13" s="26">
        <f t="shared" si="1"/>
        <v>4352.328467</v>
      </c>
      <c r="D13" s="28">
        <v>1180438.0</v>
      </c>
      <c r="E13" s="26">
        <f t="shared" si="2"/>
        <v>4323.948718</v>
      </c>
      <c r="F13" s="27">
        <f t="shared" si="3"/>
        <v>-0.006520589937</v>
      </c>
      <c r="G13" s="28">
        <v>1230383.0</v>
      </c>
      <c r="H13" s="26">
        <f t="shared" si="4"/>
        <v>4506.897436</v>
      </c>
      <c r="I13" s="27">
        <f t="shared" si="5"/>
        <v>-0.04059305111</v>
      </c>
    </row>
    <row r="14" ht="12.75" customHeight="1">
      <c r="A14" s="25" t="s">
        <v>30</v>
      </c>
      <c r="B14" s="28">
        <v>412531.0</v>
      </c>
      <c r="C14" s="26">
        <f t="shared" si="1"/>
        <v>1505.587591</v>
      </c>
      <c r="D14" s="28">
        <v>487496.0</v>
      </c>
      <c r="E14" s="26">
        <f t="shared" si="2"/>
        <v>1785.699634</v>
      </c>
      <c r="F14" s="27">
        <f t="shared" si="3"/>
        <v>0.1860483203</v>
      </c>
      <c r="G14" s="28">
        <v>423554.0</v>
      </c>
      <c r="H14" s="26">
        <f t="shared" si="4"/>
        <v>1551.479853</v>
      </c>
      <c r="I14" s="27">
        <f t="shared" si="5"/>
        <v>0.1509654023</v>
      </c>
    </row>
    <row r="15" ht="12.75" customHeight="1">
      <c r="A15" s="25" t="s">
        <v>31</v>
      </c>
      <c r="B15" s="28">
        <v>567536.0</v>
      </c>
      <c r="C15" s="26">
        <f t="shared" si="1"/>
        <v>2071.29927</v>
      </c>
      <c r="D15" s="28">
        <v>500323.0</v>
      </c>
      <c r="E15" s="26">
        <f t="shared" si="2"/>
        <v>1832.684982</v>
      </c>
      <c r="F15" s="27">
        <f t="shared" si="3"/>
        <v>-0.1152002957</v>
      </c>
      <c r="G15" s="28">
        <v>614541.0</v>
      </c>
      <c r="H15" s="26">
        <f t="shared" si="4"/>
        <v>2251.065934</v>
      </c>
      <c r="I15" s="27">
        <f t="shared" si="5"/>
        <v>-0.1858590395</v>
      </c>
    </row>
    <row r="16" ht="12.75" customHeight="1">
      <c r="A16" s="25" t="s">
        <v>32</v>
      </c>
      <c r="B16" s="28">
        <v>1.7422726E7</v>
      </c>
      <c r="C16" s="26">
        <f t="shared" si="1"/>
        <v>63586.59124</v>
      </c>
      <c r="D16" s="28">
        <v>1.8108823E7</v>
      </c>
      <c r="E16" s="26">
        <f t="shared" si="2"/>
        <v>66332.68498</v>
      </c>
      <c r="F16" s="27">
        <f t="shared" si="3"/>
        <v>0.04318667957</v>
      </c>
      <c r="G16" s="28">
        <v>1.7493393E7</v>
      </c>
      <c r="H16" s="26">
        <f t="shared" si="4"/>
        <v>64078.36264</v>
      </c>
      <c r="I16" s="27">
        <f t="shared" si="5"/>
        <v>0.0351807108</v>
      </c>
    </row>
    <row r="17" ht="12.75" customHeight="1">
      <c r="A17" s="25" t="s">
        <v>33</v>
      </c>
      <c r="B17" s="28">
        <v>1.0951336E7</v>
      </c>
      <c r="C17" s="26">
        <f t="shared" si="1"/>
        <v>39968.37956</v>
      </c>
      <c r="D17" s="28">
        <v>1.1350303E7</v>
      </c>
      <c r="E17" s="26">
        <f t="shared" si="2"/>
        <v>41576.20147</v>
      </c>
      <c r="F17" s="27">
        <f t="shared" si="3"/>
        <v>0.04022734774</v>
      </c>
      <c r="G17" s="28">
        <v>1.1157076E7</v>
      </c>
      <c r="H17" s="26">
        <f t="shared" si="4"/>
        <v>40868.41026</v>
      </c>
      <c r="I17" s="27">
        <f t="shared" si="5"/>
        <v>0.01731878496</v>
      </c>
    </row>
    <row r="18" ht="12.75" customHeight="1">
      <c r="A18" s="25" t="s">
        <v>34</v>
      </c>
      <c r="B18" s="28">
        <v>5792887.0</v>
      </c>
      <c r="C18" s="26">
        <f t="shared" si="1"/>
        <v>21141.92336</v>
      </c>
      <c r="D18" s="28">
        <v>6311926.0</v>
      </c>
      <c r="E18" s="26">
        <f t="shared" si="2"/>
        <v>23120.60806</v>
      </c>
      <c r="F18" s="27">
        <f t="shared" si="3"/>
        <v>0.09359057203</v>
      </c>
      <c r="G18" s="28">
        <v>5888861.0</v>
      </c>
      <c r="H18" s="26">
        <f t="shared" si="4"/>
        <v>21570.91941</v>
      </c>
      <c r="I18" s="27">
        <f t="shared" si="5"/>
        <v>0.07184156665</v>
      </c>
    </row>
    <row r="19" ht="12.75" customHeight="1">
      <c r="A19" s="25" t="s">
        <v>35</v>
      </c>
      <c r="B19" s="28">
        <v>2971024.0</v>
      </c>
      <c r="C19" s="26">
        <f t="shared" si="1"/>
        <v>10843.15328</v>
      </c>
      <c r="D19" s="28">
        <v>3285414.0</v>
      </c>
      <c r="E19" s="26">
        <f t="shared" si="2"/>
        <v>12034.48352</v>
      </c>
      <c r="F19" s="27">
        <f t="shared" si="3"/>
        <v>0.1098693526</v>
      </c>
      <c r="G19" s="28">
        <v>3048414.0</v>
      </c>
      <c r="H19" s="26">
        <f t="shared" si="4"/>
        <v>11166.35165</v>
      </c>
      <c r="I19" s="27">
        <f t="shared" si="5"/>
        <v>0.07774534561</v>
      </c>
    </row>
    <row r="20" ht="12.75" customHeight="1">
      <c r="A20" s="25" t="s">
        <v>36</v>
      </c>
      <c r="B20" s="28">
        <v>3823320.0</v>
      </c>
      <c r="C20" s="26">
        <f t="shared" si="1"/>
        <v>13953.72263</v>
      </c>
      <c r="D20" s="28">
        <v>3947726.0</v>
      </c>
      <c r="E20" s="26">
        <f t="shared" si="2"/>
        <v>14460.5348</v>
      </c>
      <c r="F20" s="27">
        <f t="shared" si="3"/>
        <v>0.03632092914</v>
      </c>
      <c r="G20" s="28">
        <v>3966329.0</v>
      </c>
      <c r="H20" s="26">
        <f t="shared" si="4"/>
        <v>14528.67766</v>
      </c>
      <c r="I20" s="27">
        <f t="shared" si="5"/>
        <v>-0.004690231194</v>
      </c>
    </row>
    <row r="21" ht="12.75" customHeight="1">
      <c r="A21" s="25" t="s">
        <v>37</v>
      </c>
      <c r="B21" s="28">
        <v>9080059.0</v>
      </c>
      <c r="C21" s="26">
        <f t="shared" si="1"/>
        <v>33138.90146</v>
      </c>
      <c r="D21" s="28">
        <v>9619390.0</v>
      </c>
      <c r="E21" s="26">
        <f t="shared" si="2"/>
        <v>35235.86081</v>
      </c>
      <c r="F21" s="27">
        <f t="shared" si="3"/>
        <v>0.06327787747</v>
      </c>
      <c r="G21" s="28">
        <v>9639912.0</v>
      </c>
      <c r="H21" s="26">
        <f t="shared" si="4"/>
        <v>35311.03297</v>
      </c>
      <c r="I21" s="27">
        <f t="shared" si="5"/>
        <v>-0.002128857608</v>
      </c>
    </row>
    <row r="22" ht="12.75" customHeight="1">
      <c r="A22" s="25" t="s">
        <v>38</v>
      </c>
      <c r="B22" s="28">
        <v>430694.0</v>
      </c>
      <c r="C22" s="26">
        <f t="shared" si="1"/>
        <v>1571.875912</v>
      </c>
      <c r="D22" s="28">
        <v>466200.0</v>
      </c>
      <c r="E22" s="26">
        <f t="shared" si="2"/>
        <v>1707.692308</v>
      </c>
      <c r="F22" s="27">
        <f t="shared" si="3"/>
        <v>0.08640401842</v>
      </c>
      <c r="G22" s="28">
        <v>432468.0</v>
      </c>
      <c r="H22" s="26">
        <f t="shared" si="4"/>
        <v>1584.131868</v>
      </c>
      <c r="I22" s="27">
        <f t="shared" si="5"/>
        <v>0.0779988346</v>
      </c>
    </row>
    <row r="23" ht="12.75" customHeight="1">
      <c r="A23" s="25" t="s">
        <v>39</v>
      </c>
      <c r="B23" s="28">
        <v>344751.0</v>
      </c>
      <c r="C23" s="26">
        <f t="shared" si="1"/>
        <v>1258.215328</v>
      </c>
      <c r="D23" s="28">
        <v>372866.0</v>
      </c>
      <c r="E23" s="26">
        <f t="shared" si="2"/>
        <v>1365.809524</v>
      </c>
      <c r="F23" s="27">
        <f t="shared" si="3"/>
        <v>0.08551334013</v>
      </c>
      <c r="G23" s="28">
        <v>362890.0</v>
      </c>
      <c r="H23" s="26">
        <f t="shared" si="4"/>
        <v>1329.267399</v>
      </c>
      <c r="I23" s="27">
        <f t="shared" si="5"/>
        <v>0.0274904241</v>
      </c>
    </row>
    <row r="24" ht="12.75" customHeight="1">
      <c r="A24" s="25" t="s">
        <v>40</v>
      </c>
      <c r="B24" s="28">
        <v>829676.0</v>
      </c>
      <c r="C24" s="26">
        <f t="shared" si="1"/>
        <v>3028.014599</v>
      </c>
      <c r="D24" s="28">
        <v>961629.0</v>
      </c>
      <c r="E24" s="26">
        <f t="shared" si="2"/>
        <v>3522.450549</v>
      </c>
      <c r="F24" s="27">
        <f t="shared" si="3"/>
        <v>0.1632871754</v>
      </c>
      <c r="G24" s="28">
        <v>871591.0</v>
      </c>
      <c r="H24" s="26">
        <f t="shared" si="4"/>
        <v>3192.641026</v>
      </c>
      <c r="I24" s="27">
        <f t="shared" si="5"/>
        <v>0.1033030401</v>
      </c>
    </row>
    <row r="25" ht="12.75" customHeight="1">
      <c r="A25" s="25" t="s">
        <v>41</v>
      </c>
      <c r="B25" s="28">
        <v>2279402.0</v>
      </c>
      <c r="C25" s="26">
        <f t="shared" si="1"/>
        <v>8318.985401</v>
      </c>
      <c r="D25" s="28">
        <v>2197053.0</v>
      </c>
      <c r="E25" s="26">
        <f t="shared" si="2"/>
        <v>8047.813187</v>
      </c>
      <c r="F25" s="27">
        <f t="shared" si="3"/>
        <v>-0.03259678934</v>
      </c>
      <c r="G25" s="28">
        <v>2350607.0</v>
      </c>
      <c r="H25" s="26">
        <f t="shared" si="4"/>
        <v>8610.282051</v>
      </c>
      <c r="I25" s="27">
        <f t="shared" si="5"/>
        <v>-0.06532525429</v>
      </c>
    </row>
    <row r="26" ht="12.75" customHeight="1">
      <c r="A26" s="25" t="s">
        <v>42</v>
      </c>
      <c r="B26" s="28">
        <v>1861232.0</v>
      </c>
      <c r="C26" s="26">
        <f t="shared" si="1"/>
        <v>6792.817518</v>
      </c>
      <c r="D26" s="28">
        <v>1872369.0</v>
      </c>
      <c r="E26" s="26">
        <f t="shared" si="2"/>
        <v>6858.494505</v>
      </c>
      <c r="F26" s="27">
        <f t="shared" si="3"/>
        <v>0.009668592903</v>
      </c>
      <c r="G26" s="28">
        <v>1885528.0</v>
      </c>
      <c r="H26" s="26">
        <f t="shared" si="4"/>
        <v>6906.695971</v>
      </c>
      <c r="I26" s="27">
        <f t="shared" si="5"/>
        <v>-0.006978947011</v>
      </c>
    </row>
    <row r="27" ht="12.75" customHeight="1">
      <c r="A27" s="25" t="s">
        <v>43</v>
      </c>
      <c r="B27" s="28">
        <v>2912231.0</v>
      </c>
      <c r="C27" s="26">
        <f t="shared" si="1"/>
        <v>10628.58029</v>
      </c>
      <c r="D27" s="28">
        <v>2995882.0</v>
      </c>
      <c r="E27" s="26">
        <f t="shared" si="2"/>
        <v>10973.92674</v>
      </c>
      <c r="F27" s="27">
        <f t="shared" si="3"/>
        <v>0.03249224623</v>
      </c>
      <c r="G27" s="28">
        <v>3095377.0</v>
      </c>
      <c r="H27" s="26">
        <f t="shared" si="4"/>
        <v>11338.37729</v>
      </c>
      <c r="I27" s="27">
        <f t="shared" si="5"/>
        <v>-0.03214309598</v>
      </c>
    </row>
    <row r="28" ht="12.75" customHeight="1">
      <c r="A28" s="25" t="s">
        <v>44</v>
      </c>
      <c r="B28" s="28">
        <v>3359454.0</v>
      </c>
      <c r="C28" s="26">
        <f t="shared" si="1"/>
        <v>12260.78102</v>
      </c>
      <c r="D28" s="28">
        <v>3637161.0</v>
      </c>
      <c r="E28" s="26">
        <f t="shared" si="2"/>
        <v>13322.93407</v>
      </c>
      <c r="F28" s="27">
        <f t="shared" si="3"/>
        <v>0.0866301292</v>
      </c>
      <c r="G28" s="28">
        <v>3505382.0</v>
      </c>
      <c r="H28" s="26">
        <f t="shared" si="4"/>
        <v>12840.22711</v>
      </c>
      <c r="I28" s="27">
        <f t="shared" si="5"/>
        <v>0.03759333505</v>
      </c>
    </row>
    <row r="29" ht="12.75" customHeight="1">
      <c r="A29" s="25" t="s">
        <v>45</v>
      </c>
      <c r="B29" s="28">
        <v>4839634.0</v>
      </c>
      <c r="C29" s="26">
        <f t="shared" si="1"/>
        <v>17662.89781</v>
      </c>
      <c r="D29" s="28">
        <v>5184243.0</v>
      </c>
      <c r="E29" s="26">
        <f t="shared" si="2"/>
        <v>18989.9011</v>
      </c>
      <c r="F29" s="27">
        <f t="shared" si="3"/>
        <v>0.07512942117</v>
      </c>
      <c r="G29" s="28">
        <v>5148249.0</v>
      </c>
      <c r="H29" s="26">
        <f t="shared" si="4"/>
        <v>18858.05495</v>
      </c>
      <c r="I29" s="27">
        <f t="shared" si="5"/>
        <v>0.006991503325</v>
      </c>
    </row>
    <row r="30" ht="12.75" customHeight="1">
      <c r="A30" s="25" t="s">
        <v>46</v>
      </c>
      <c r="B30" s="28">
        <v>949741.0</v>
      </c>
      <c r="C30" s="26">
        <f t="shared" si="1"/>
        <v>3466.208029</v>
      </c>
      <c r="D30" s="28">
        <v>908307.0</v>
      </c>
      <c r="E30" s="26">
        <f t="shared" si="2"/>
        <v>3327.131868</v>
      </c>
      <c r="F30" s="27">
        <f t="shared" si="3"/>
        <v>-0.04012343168</v>
      </c>
      <c r="G30" s="28">
        <v>986639.0</v>
      </c>
      <c r="H30" s="26">
        <f t="shared" si="4"/>
        <v>3614.062271</v>
      </c>
      <c r="I30" s="27">
        <f t="shared" si="5"/>
        <v>-0.07939276676</v>
      </c>
    </row>
    <row r="31" ht="12.75" customHeight="1">
      <c r="A31" s="25" t="s">
        <v>47</v>
      </c>
      <c r="B31" s="28">
        <v>548551.0</v>
      </c>
      <c r="C31" s="26">
        <f t="shared" si="1"/>
        <v>2002.010949</v>
      </c>
      <c r="D31" s="28">
        <v>610798.0</v>
      </c>
      <c r="E31" s="26">
        <f t="shared" si="2"/>
        <v>2237.355311</v>
      </c>
      <c r="F31" s="27">
        <f t="shared" si="3"/>
        <v>0.1175539837</v>
      </c>
      <c r="G31" s="28">
        <v>568101.0</v>
      </c>
      <c r="H31" s="26">
        <f t="shared" si="4"/>
        <v>2080.956044</v>
      </c>
      <c r="I31" s="27">
        <f t="shared" si="5"/>
        <v>0.07515741039</v>
      </c>
    </row>
    <row r="32" ht="12.75" customHeight="1">
      <c r="A32" s="25" t="s">
        <v>48</v>
      </c>
      <c r="B32" s="28">
        <v>1553037.0</v>
      </c>
      <c r="C32" s="26">
        <f t="shared" si="1"/>
        <v>5668.018248</v>
      </c>
      <c r="D32" s="28">
        <v>1712722.0</v>
      </c>
      <c r="E32" s="26">
        <f t="shared" si="2"/>
        <v>6273.70696</v>
      </c>
      <c r="F32" s="27">
        <f t="shared" si="3"/>
        <v>0.1068607554</v>
      </c>
      <c r="G32" s="28">
        <v>1614682.0</v>
      </c>
      <c r="H32" s="26">
        <f t="shared" si="4"/>
        <v>5914.586081</v>
      </c>
      <c r="I32" s="27">
        <f t="shared" si="5"/>
        <v>0.06071783794</v>
      </c>
    </row>
    <row r="33" ht="12.75" customHeight="1">
      <c r="A33" s="25" t="s">
        <v>49</v>
      </c>
      <c r="B33" s="28">
        <v>1.0136195E7</v>
      </c>
      <c r="C33" s="26">
        <f t="shared" si="1"/>
        <v>36993.41241</v>
      </c>
      <c r="D33" s="28">
        <v>1.0712419E7</v>
      </c>
      <c r="E33" s="26">
        <f t="shared" si="2"/>
        <v>39239.63004</v>
      </c>
      <c r="F33" s="27">
        <f t="shared" si="3"/>
        <v>0.0607193952</v>
      </c>
      <c r="G33" s="28">
        <v>1.0304615E7</v>
      </c>
      <c r="H33" s="26">
        <f t="shared" si="4"/>
        <v>37745.84249</v>
      </c>
      <c r="I33" s="27">
        <f t="shared" si="5"/>
        <v>0.0395748895</v>
      </c>
    </row>
    <row r="34" ht="12.75" customHeight="1">
      <c r="A34" s="25" t="s">
        <v>50</v>
      </c>
      <c r="B34" s="28">
        <v>2171012.0</v>
      </c>
      <c r="C34" s="26">
        <f t="shared" si="1"/>
        <v>7923.40146</v>
      </c>
      <c r="D34" s="28">
        <v>2160246.0</v>
      </c>
      <c r="E34" s="26">
        <f t="shared" si="2"/>
        <v>7912.989011</v>
      </c>
      <c r="F34" s="27">
        <f t="shared" si="3"/>
        <v>-0.001314138747</v>
      </c>
      <c r="G34" s="28">
        <v>2300557.0</v>
      </c>
      <c r="H34" s="26">
        <f t="shared" si="4"/>
        <v>8426.948718</v>
      </c>
      <c r="I34" s="27">
        <f t="shared" si="5"/>
        <v>-0.06099001242</v>
      </c>
    </row>
    <row r="35" ht="12.75" customHeight="1">
      <c r="A35" s="25" t="s">
        <v>51</v>
      </c>
      <c r="B35" s="28">
        <v>1411253.0</v>
      </c>
      <c r="C35" s="26">
        <f t="shared" si="1"/>
        <v>5150.558394</v>
      </c>
      <c r="D35" s="28">
        <v>1351873.0</v>
      </c>
      <c r="E35" s="26">
        <f t="shared" si="2"/>
        <v>4951.915751</v>
      </c>
      <c r="F35" s="27">
        <f t="shared" si="3"/>
        <v>-0.03856720535</v>
      </c>
      <c r="G35" s="28">
        <v>1485103.0</v>
      </c>
      <c r="H35" s="26">
        <f t="shared" si="4"/>
        <v>5439.937729</v>
      </c>
      <c r="I35" s="27">
        <f t="shared" si="5"/>
        <v>-0.08971094934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 t="s">
        <v>56</v>
      </c>
    </row>
    <row r="4" ht="12.0" customHeight="1">
      <c r="A4" s="32"/>
      <c r="B4" s="33"/>
      <c r="C4" s="34"/>
      <c r="D4" s="35"/>
    </row>
    <row r="5" ht="15.75" customHeight="1">
      <c r="A5" s="36"/>
      <c r="B5" s="37"/>
      <c r="C5" s="38"/>
      <c r="D5" s="39"/>
    </row>
  </sheetData>
  <drawing r:id="rId1"/>
</worksheet>
</file>