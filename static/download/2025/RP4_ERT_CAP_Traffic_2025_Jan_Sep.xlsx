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_ERT_DLY_Traffic" sheetId="1" r:id="rId3"/>
    <sheet state="visible" name="Change Log" sheetId="2" r:id="rId4"/>
  </sheets>
  <definedNames/>
  <calcPr/>
</workbook>
</file>

<file path=xl/sharedStrings.xml><?xml version="1.0" encoding="utf-8"?>
<sst xmlns="http://schemas.openxmlformats.org/spreadsheetml/2006/main" count="134" uniqueCount="103">
  <si>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</si>
  <si>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</si>
  <si>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</si>
  <si>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</si>
  <si>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</si>
  <si>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</si>
  <si>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</si>
  <si>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</si>
  <si>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% of en-route ATFM delay occurring when daily throughput was above expected daily traffic </t>
  </si>
  <si>
    <t xml:space="preserve">   </t>
  </si>
  <si>
    <t xml:space="preserve">    </t>
  </si>
  <si>
    <t xml:space="preserve"> </t>
  </si>
  <si>
    <t>Period: JAN-SEP</t>
  </si>
  <si>
    <t>ACC Name</t>
  </si>
  <si>
    <t>State</t>
  </si>
  <si>
    <t>Flights</t>
  </si>
  <si>
    <t>TOT_ERT ATFM DLY WHERE TFC &gt; GUID TFC</t>
  </si>
  <si>
    <t>Total en-route ATFM delay (min)</t>
  </si>
  <si>
    <t>% ERT ATFM DLY (traffic &gt; forecast)</t>
  </si>
  <si>
    <t>Days with traffic &gt; forecast AND en-route ATFM delay</t>
  </si>
  <si>
    <t>AMSTERDAM ACC</t>
  </si>
  <si>
    <t>Netherlands</t>
  </si>
  <si>
    <t>ATHINAI ACC</t>
  </si>
  <si>
    <t>Greece</t>
  </si>
  <si>
    <t>BARCELONA ACC</t>
  </si>
  <si>
    <t>Spain</t>
  </si>
  <si>
    <t>BODO ACC</t>
  </si>
  <si>
    <t>Norway</t>
  </si>
  <si>
    <t>N/A</t>
  </si>
  <si>
    <t>BORDEAUX ACC</t>
  </si>
  <si>
    <t>France</t>
  </si>
  <si>
    <t>BRATISLAVA ACC</t>
  </si>
  <si>
    <t>Slovakia</t>
  </si>
  <si>
    <t>BREMEN ACC</t>
  </si>
  <si>
    <t>Germany</t>
  </si>
  <si>
    <t>BREST ACC</t>
  </si>
  <si>
    <t>BRINDISI ACC</t>
  </si>
  <si>
    <t>Italy</t>
  </si>
  <si>
    <t>BRUSSELS ACC</t>
  </si>
  <si>
    <t>Belgium</t>
  </si>
  <si>
    <t>BUCURESTI ACC</t>
  </si>
  <si>
    <t>Romania</t>
  </si>
  <si>
    <t>BUDAPEST ACC</t>
  </si>
  <si>
    <t>Hungary</t>
  </si>
  <si>
    <t>CANARIAS ACC</t>
  </si>
  <si>
    <t>DUBLIN ACC</t>
  </si>
  <si>
    <t>Ireland</t>
  </si>
  <si>
    <t>GENEVA ACC</t>
  </si>
  <si>
    <t>Switzerland</t>
  </si>
  <si>
    <t>HELSINKI ACC</t>
  </si>
  <si>
    <t>Finland</t>
  </si>
  <si>
    <t>KARLSRUHE UAC</t>
  </si>
  <si>
    <t>KOBENHAVN ACC</t>
  </si>
  <si>
    <t>Denmark</t>
  </si>
  <si>
    <t>LANGEN ACC</t>
  </si>
  <si>
    <t>LISBOA ACC</t>
  </si>
  <si>
    <t>Portugal</t>
  </si>
  <si>
    <t>LJUBLJANA ACC</t>
  </si>
  <si>
    <t>Slovenia</t>
  </si>
  <si>
    <t>MAASTRICHT UAC</t>
  </si>
  <si>
    <t>MADRID ACC</t>
  </si>
  <si>
    <t>MAKEDONIA ACC</t>
  </si>
  <si>
    <t>MALMO ACC</t>
  </si>
  <si>
    <t>Sweden</t>
  </si>
  <si>
    <t>MALTA ACC</t>
  </si>
  <si>
    <t>Malta</t>
  </si>
  <si>
    <t>MARSEILLE ACC</t>
  </si>
  <si>
    <t>MARSEILLE TMA</t>
  </si>
  <si>
    <t>MILANO ACC</t>
  </si>
  <si>
    <t>MUENCHEN ACC</t>
  </si>
  <si>
    <t>NICOSIA ACC</t>
  </si>
  <si>
    <t>Cyprus</t>
  </si>
  <si>
    <t>OSLO ACC</t>
  </si>
  <si>
    <t>PADOVA ACC</t>
  </si>
  <si>
    <t>PALMA ACC</t>
  </si>
  <si>
    <t>PARIS ACC</t>
  </si>
  <si>
    <t>PRAHA ACC</t>
  </si>
  <si>
    <t>Czech Republic</t>
  </si>
  <si>
    <t>REIMS ACC</t>
  </si>
  <si>
    <t>RIGA ACC</t>
  </si>
  <si>
    <t>Latvia</t>
  </si>
  <si>
    <t>ROMA ACC</t>
  </si>
  <si>
    <t>SEVILLA ACC</t>
  </si>
  <si>
    <t>SHANNON ACC</t>
  </si>
  <si>
    <t>SOFIA ACC</t>
  </si>
  <si>
    <t>Bulgaria</t>
  </si>
  <si>
    <t>STAVANGER ACC</t>
  </si>
  <si>
    <t>STOCKHOLM ACC</t>
  </si>
  <si>
    <t>TALLIN ACC</t>
  </si>
  <si>
    <t>Estonia</t>
  </si>
  <si>
    <t>VILNIUS ACC</t>
  </si>
  <si>
    <t>Lithuania</t>
  </si>
  <si>
    <t>WARSZAWA ACC</t>
  </si>
  <si>
    <t>Poland</t>
  </si>
  <si>
    <t>WIEN ACC</t>
  </si>
  <si>
    <t>Austria</t>
  </si>
  <si>
    <t>ZAGREB ACC</t>
  </si>
  <si>
    <t>Croatia</t>
  </si>
  <si>
    <t>ZURICH ACC</t>
  </si>
  <si>
    <t>Change date</t>
  </si>
  <si>
    <t>Entity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</si>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</sst>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0.0%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2" numFmtId="49" xfId="0" applyAlignment="1" applyBorder="1" applyFont="1" applyNumberFormat="1">
      <alignment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2" fontId="2" numFmtId="164" xfId="0" applyAlignment="1" applyBorder="1" applyFont="1" applyNumberFormat="1">
      <alignment horizontal="left" vertical="bottom"/>
    </xf>
    <xf borderId="2" fillId="2" fontId="2" numFmtId="164" xfId="0" applyAlignment="1" applyBorder="1" applyFont="1" applyNumberFormat="1">
      <alignment horizontal="left" readingOrder="0" vertical="bottom"/>
    </xf>
    <xf borderId="2" fillId="2" fontId="1" numFmtId="0" xfId="0" applyAlignment="1" applyBorder="1" applyFont="1">
      <alignment shrinkToFit="0" wrapText="0"/>
    </xf>
    <xf borderId="3" fillId="3" fontId="3" numFmtId="165" xfId="0" applyAlignment="1" applyBorder="1" applyFill="1" applyFont="1" applyNumberFormat="1">
      <alignment horizontal="left" shrinkToFit="0" wrapText="0"/>
    </xf>
    <xf borderId="4" fillId="2" fontId="1" numFmtId="0" xfId="0" applyAlignment="1" applyBorder="1" applyFont="1">
      <alignment shrinkToFit="0" wrapText="0"/>
    </xf>
    <xf borderId="5" fillId="0" fontId="4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vertical="bottom"/>
    </xf>
    <xf borderId="6" fillId="2" fontId="2" numFmtId="164" xfId="0" applyAlignment="1" applyBorder="1" applyFont="1" applyNumberFormat="1">
      <alignment horizontal="left" vertical="bottom"/>
    </xf>
    <xf borderId="6" fillId="2" fontId="2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shrinkToFit="0" wrapText="0"/>
    </xf>
    <xf borderId="6" fillId="2" fontId="5" numFmtId="0" xfId="0" applyAlignment="1" applyBorder="1" applyFont="1">
      <alignment horizontal="left" readingOrder="0" shrinkToFit="0" wrapText="0"/>
    </xf>
    <xf borderId="7" fillId="3" fontId="6" numFmtId="0" xfId="0" applyAlignment="1" applyBorder="1" applyFont="1">
      <alignment readingOrder="0" shrinkToFit="0" wrapText="0"/>
    </xf>
    <xf borderId="7" fillId="3" fontId="7" numFmtId="0" xfId="0" applyAlignment="1" applyBorder="1" applyFont="1">
      <alignment shrinkToFit="0" wrapText="1"/>
    </xf>
    <xf borderId="7" fillId="3" fontId="7" numFmtId="0" xfId="0" applyAlignment="1" applyBorder="1" applyFont="1">
      <alignment readingOrder="0" shrinkToFit="0" wrapText="1"/>
    </xf>
    <xf borderId="8" fillId="3" fontId="8" numFmtId="0" xfId="0" applyAlignment="1" applyBorder="1" applyFont="1">
      <alignment readingOrder="0" shrinkToFit="0" vertical="center" wrapText="0"/>
    </xf>
    <xf borderId="6" fillId="3" fontId="7" numFmtId="0" xfId="0" applyAlignment="1" applyBorder="1" applyFont="1">
      <alignment shrinkToFit="0" wrapText="1"/>
    </xf>
    <xf borderId="5" fillId="3" fontId="7" numFmtId="0" xfId="0" applyAlignment="1" applyBorder="1" applyFont="1">
      <alignment shrinkToFit="0" wrapText="1"/>
    </xf>
    <xf borderId="5" fillId="3" fontId="9" numFmtId="0" xfId="0" applyAlignment="1" applyBorder="1" applyFont="1">
      <alignment horizontal="center" readingOrder="0" shrinkToFit="0" vertical="center" wrapText="0"/>
    </xf>
    <xf borderId="0" fillId="0" fontId="10" numFmtId="0" xfId="0" applyFont="1"/>
    <xf borderId="8" fillId="4" fontId="11" numFmtId="0" xfId="0" applyAlignment="1" applyBorder="1" applyFill="1" applyFont="1">
      <alignment readingOrder="0" shrinkToFit="0" wrapText="0"/>
    </xf>
    <xf borderId="0" fillId="4" fontId="11" numFmtId="0" xfId="0" applyAlignment="1" applyFont="1">
      <alignment horizontal="left" readingOrder="0" shrinkToFit="0" wrapText="0"/>
    </xf>
    <xf borderId="8" fillId="3" fontId="7" numFmtId="2" xfId="0" applyAlignment="1" applyBorder="1" applyFont="1" applyNumberFormat="1">
      <alignment readingOrder="0" vertical="bottom"/>
    </xf>
    <xf borderId="0" fillId="3" fontId="7" numFmtId="0" xfId="0" applyAlignment="1" applyFont="1">
      <alignment readingOrder="0" vertical="bottom"/>
    </xf>
    <xf borderId="8" fillId="3" fontId="7" numFmtId="3" xfId="0" applyAlignment="1" applyBorder="1" applyFont="1" applyNumberFormat="1">
      <alignment horizontal="right" readingOrder="0" shrinkToFit="0" vertical="center" wrapText="0"/>
    </xf>
    <xf borderId="8" fillId="3" fontId="7" numFmtId="167" xfId="0" applyAlignment="1" applyBorder="1" applyFont="1" applyNumberFormat="1">
      <alignment horizontal="right" readingOrder="0" shrinkToFit="0" vertical="center" wrapText="0"/>
    </xf>
    <xf borderId="8" fillId="3" fontId="7" numFmtId="1" xfId="0" applyAlignment="1" applyBorder="1" applyFont="1" applyNumberFormat="1">
      <alignment horizontal="right" readingOrder="0" shrinkToFit="0" vertical="center" wrapText="0"/>
    </xf>
    <xf borderId="8" fillId="3" fontId="7" numFmtId="0" xfId="0" applyAlignment="1" applyBorder="1" applyFont="1">
      <alignment readingOrder="0" vertical="bottom"/>
    </xf>
    <xf borderId="8" fillId="3" fontId="7" numFmtId="0" xfId="0" applyAlignment="1" applyBorder="1" applyFont="1">
      <alignment horizontal="right" readingOrder="0" shrinkToFit="0" vertical="center" wrapText="0"/>
    </xf>
    <xf borderId="8" fillId="3" fontId="7" numFmtId="10" xfId="0" applyAlignment="1" applyBorder="1" applyFont="1" applyNumberFormat="1">
      <alignment horizontal="right" readingOrder="0" shrinkToFit="0" vertical="center" wrapText="0"/>
    </xf>
    <xf borderId="8" fillId="3" fontId="7" numFmtId="3" xfId="0" applyAlignment="1" applyBorder="1" applyFont="1" applyNumberFormat="1">
      <alignment readingOrder="0" vertical="bottom"/>
    </xf>
    <xf borderId="8" fillId="3" fontId="7" numFmtId="3" xfId="0" applyAlignment="1" applyBorder="1" applyFont="1" applyNumberFormat="1">
      <alignment readingOrder="0" shrinkToFit="0" vertical="center" wrapText="0"/>
    </xf>
    <xf borderId="8" fillId="3" fontId="7" numFmtId="1" xfId="0" applyAlignment="1" applyBorder="1" applyFont="1" applyNumberFormat="1">
      <alignment readingOrder="0" shrinkToFit="0" vertical="center" wrapText="0"/>
    </xf>
    <xf borderId="0" fillId="4" fontId="11" numFmtId="0" xfId="0" applyAlignment="1" applyFont="1">
      <alignment shrinkToFit="0" wrapText="0"/>
    </xf>
    <xf borderId="0" fillId="4" fontId="11" numFmtId="0" xfId="0" applyAlignment="1" applyFont="1">
      <alignment horizontal="center" shrinkToFit="0" wrapText="0"/>
    </xf>
    <xf borderId="0" fillId="3" fontId="12" numFmtId="0" xfId="0" applyAlignment="1" applyFont="1">
      <alignment horizontal="center" readingOrder="0" shrinkToFit="0" vertical="bottom" wrapText="0"/>
    </xf>
    <xf borderId="0" fillId="3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3" fontId="12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shrinkToFit="0" vertical="bottom" wrapText="0"/>
    </xf>
    <xf borderId="0" fillId="3" fontId="7" numFmtId="0" xfId="0" applyAlignment="1" applyFont="1">
      <alignment vertical="bottom"/>
    </xf>
    <xf borderId="0" fillId="3" fontId="12" numFmtId="164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0.5"/>
    <col customWidth="1" min="2" max="2" width="11.13"/>
    <col customWidth="1" min="3" max="3" width="8.25"/>
    <col customWidth="1" min="4" max="4" width="28.38"/>
    <col customWidth="1" min="5" max="5" width="13.75"/>
    <col customWidth="1" min="6" max="6" width="18.13"/>
    <col customWidth="1" min="7" max="7" width="20.38"/>
  </cols>
  <sheetData>
    <row r="1" ht="12.75" customHeight="1">
      <c r="A1" s="1" t="s">
        <v>0</v>
      </c>
      <c r="B1" s="2" t="s">
        <v>1</v>
      </c>
      <c r="C1" s="3" t="s">
        <v>2</v>
      </c>
      <c r="D1" s="4"/>
      <c r="E1" s="5">
        <v>45658.0</v>
      </c>
      <c r="F1" s="6" t="s">
        <v>3</v>
      </c>
      <c r="G1" s="7" t="str">
        <f>HYPERLINK("https://www.eurocontrol.int/prudata/dashboard/metadata/ert-dly-traffic/","Share of en-route ATFM delay occuring when traffic was above forecast")</f>
        <v>Share of en-route ATFM delay occuring when traffic was above forecast</v>
      </c>
    </row>
    <row r="2" ht="12.75" customHeight="1">
      <c r="A2" s="8" t="s">
        <v>4</v>
      </c>
      <c r="B2" s="9">
        <v>45946.0</v>
      </c>
      <c r="C2" s="10" t="s">
        <v>5</v>
      </c>
      <c r="D2" s="11"/>
      <c r="E2" s="12">
        <v>45930.0</v>
      </c>
      <c r="F2" s="13" t="s">
        <v>6</v>
      </c>
      <c r="G2" s="14" t="s">
        <v>7</v>
      </c>
    </row>
    <row r="3" ht="12.75" customHeight="1">
      <c r="A3" s="15" t="s">
        <v>8</v>
      </c>
      <c r="B3" s="16"/>
      <c r="C3" s="16"/>
      <c r="D3" s="16"/>
      <c r="E3" s="17" t="s">
        <v>9</v>
      </c>
      <c r="F3" s="17" t="s">
        <v>10</v>
      </c>
      <c r="G3" s="17" t="s">
        <v>11</v>
      </c>
    </row>
    <row r="4" ht="12.75" customHeight="1">
      <c r="A4" s="18" t="s">
        <v>12</v>
      </c>
      <c r="B4" s="19"/>
      <c r="C4" s="20"/>
      <c r="D4" s="21"/>
      <c r="E4" s="21" t="s">
        <v>11</v>
      </c>
      <c r="F4" s="21" t="s">
        <v>11</v>
      </c>
      <c r="G4" s="22"/>
    </row>
    <row r="5" ht="12.75" customHeight="1">
      <c r="A5" s="23" t="s">
        <v>13</v>
      </c>
      <c r="B5" s="23" t="s">
        <v>14</v>
      </c>
      <c r="C5" s="24" t="s">
        <v>15</v>
      </c>
      <c r="D5" s="24" t="s">
        <v>16</v>
      </c>
      <c r="E5" s="23" t="s">
        <v>17</v>
      </c>
      <c r="F5" s="24" t="s">
        <v>18</v>
      </c>
      <c r="G5" s="24" t="s">
        <v>19</v>
      </c>
    </row>
    <row r="6" ht="12.75" customHeight="1">
      <c r="A6" s="25" t="s">
        <v>20</v>
      </c>
      <c r="B6" s="26" t="s">
        <v>21</v>
      </c>
      <c r="C6" s="27">
        <v>421447.0</v>
      </c>
      <c r="D6" s="27">
        <v>11646.0</v>
      </c>
      <c r="E6" s="27">
        <v>68727.0</v>
      </c>
      <c r="F6" s="28">
        <v>0.169</v>
      </c>
      <c r="G6" s="29">
        <v>27.0</v>
      </c>
    </row>
    <row r="7" ht="12.75" customHeight="1">
      <c r="A7" s="25" t="s">
        <v>22</v>
      </c>
      <c r="B7" s="30" t="s">
        <v>23</v>
      </c>
      <c r="C7" s="27">
        <v>628041.0</v>
      </c>
      <c r="D7" s="27">
        <v>149711.0</v>
      </c>
      <c r="E7" s="27">
        <v>609242.0</v>
      </c>
      <c r="F7" s="28">
        <v>0.246</v>
      </c>
      <c r="G7" s="29">
        <v>38.0</v>
      </c>
    </row>
    <row r="8" ht="12.75" customHeight="1">
      <c r="A8" s="25" t="s">
        <v>24</v>
      </c>
      <c r="B8" s="30" t="s">
        <v>25</v>
      </c>
      <c r="C8" s="27">
        <v>866567.0</v>
      </c>
      <c r="D8" s="27">
        <v>137454.0</v>
      </c>
      <c r="E8" s="27">
        <v>1142952.0</v>
      </c>
      <c r="F8" s="28">
        <v>0.12</v>
      </c>
      <c r="G8" s="29">
        <v>110.0</v>
      </c>
    </row>
    <row r="9" ht="12.75" customHeight="1">
      <c r="A9" s="25" t="s">
        <v>26</v>
      </c>
      <c r="B9" s="30" t="s">
        <v>27</v>
      </c>
      <c r="C9" s="27">
        <v>146377.0</v>
      </c>
      <c r="D9" s="27">
        <v>0.0</v>
      </c>
      <c r="E9" s="27">
        <v>0.0</v>
      </c>
      <c r="F9" s="31" t="s">
        <v>28</v>
      </c>
      <c r="G9" s="29">
        <v>0.0</v>
      </c>
    </row>
    <row r="10" ht="12.75" customHeight="1">
      <c r="A10" s="25" t="s">
        <v>29</v>
      </c>
      <c r="B10" s="30" t="s">
        <v>30</v>
      </c>
      <c r="C10" s="27">
        <v>766836.0</v>
      </c>
      <c r="D10" s="27">
        <v>31507.0</v>
      </c>
      <c r="E10" s="27">
        <v>325925.0</v>
      </c>
      <c r="F10" s="28">
        <v>0.097</v>
      </c>
      <c r="G10" s="29">
        <v>34.0</v>
      </c>
    </row>
    <row r="11" ht="12.75" customHeight="1">
      <c r="A11" s="25" t="s">
        <v>31</v>
      </c>
      <c r="B11" s="30" t="s">
        <v>32</v>
      </c>
      <c r="C11" s="27">
        <v>444689.0</v>
      </c>
      <c r="D11" s="27">
        <v>11018.0</v>
      </c>
      <c r="E11" s="27">
        <v>50502.0</v>
      </c>
      <c r="F11" s="32">
        <v>0.218</v>
      </c>
      <c r="G11" s="29">
        <v>4.0</v>
      </c>
    </row>
    <row r="12" ht="12.75" customHeight="1">
      <c r="A12" s="25" t="s">
        <v>33</v>
      </c>
      <c r="B12" s="30" t="s">
        <v>34</v>
      </c>
      <c r="C12" s="27">
        <v>385626.0</v>
      </c>
      <c r="D12" s="27">
        <v>40043.0</v>
      </c>
      <c r="E12" s="27">
        <v>104222.0</v>
      </c>
      <c r="F12" s="28">
        <v>0.384</v>
      </c>
      <c r="G12" s="29">
        <v>54.0</v>
      </c>
    </row>
    <row r="13" ht="12.75" customHeight="1">
      <c r="A13" s="25" t="s">
        <v>35</v>
      </c>
      <c r="B13" s="30" t="s">
        <v>30</v>
      </c>
      <c r="C13" s="27">
        <v>894182.0</v>
      </c>
      <c r="D13" s="27">
        <v>344585.0</v>
      </c>
      <c r="E13" s="27">
        <v>735459.0</v>
      </c>
      <c r="F13" s="28">
        <v>0.469</v>
      </c>
      <c r="G13" s="29">
        <v>139.0</v>
      </c>
    </row>
    <row r="14" ht="12.75" customHeight="1">
      <c r="A14" s="25" t="s">
        <v>36</v>
      </c>
      <c r="B14" s="30" t="s">
        <v>37</v>
      </c>
      <c r="C14" s="27">
        <v>302700.0</v>
      </c>
      <c r="D14" s="27">
        <v>6298.0</v>
      </c>
      <c r="E14" s="27">
        <v>6298.0</v>
      </c>
      <c r="F14" s="32">
        <v>1.0</v>
      </c>
      <c r="G14" s="29">
        <v>3.0</v>
      </c>
    </row>
    <row r="15" ht="12.75" customHeight="1">
      <c r="A15" s="25" t="s">
        <v>38</v>
      </c>
      <c r="B15" s="30" t="s">
        <v>39</v>
      </c>
      <c r="C15" s="27">
        <v>461032.0</v>
      </c>
      <c r="D15" s="27">
        <v>8453.0</v>
      </c>
      <c r="E15" s="27">
        <v>36316.0</v>
      </c>
      <c r="F15" s="28">
        <v>0.233</v>
      </c>
      <c r="G15" s="29">
        <v>24.0</v>
      </c>
    </row>
    <row r="16" ht="12.75" customHeight="1">
      <c r="A16" s="25" t="s">
        <v>40</v>
      </c>
      <c r="B16" s="30" t="s">
        <v>41</v>
      </c>
      <c r="C16" s="27">
        <v>669157.0</v>
      </c>
      <c r="D16" s="27">
        <v>32447.0</v>
      </c>
      <c r="E16" s="27">
        <v>52837.0</v>
      </c>
      <c r="F16" s="32">
        <v>0.614</v>
      </c>
      <c r="G16" s="29">
        <v>13.0</v>
      </c>
    </row>
    <row r="17" ht="12.75" customHeight="1">
      <c r="A17" s="25" t="s">
        <v>42</v>
      </c>
      <c r="B17" s="30" t="s">
        <v>43</v>
      </c>
      <c r="C17" s="27">
        <v>877942.0</v>
      </c>
      <c r="D17" s="27">
        <v>127943.0</v>
      </c>
      <c r="E17" s="27">
        <v>559953.0</v>
      </c>
      <c r="F17" s="28">
        <v>0.228</v>
      </c>
      <c r="G17" s="29">
        <v>67.0</v>
      </c>
    </row>
    <row r="18" ht="12.75" customHeight="1">
      <c r="A18" s="25" t="s">
        <v>44</v>
      </c>
      <c r="B18" s="30" t="s">
        <v>25</v>
      </c>
      <c r="C18" s="27">
        <v>319317.0</v>
      </c>
      <c r="D18" s="27">
        <v>27057.0</v>
      </c>
      <c r="E18" s="27">
        <v>38243.0</v>
      </c>
      <c r="F18" s="28">
        <v>0.708</v>
      </c>
      <c r="G18" s="29">
        <v>60.0</v>
      </c>
    </row>
    <row r="19" ht="12.75" customHeight="1">
      <c r="A19" s="25" t="s">
        <v>45</v>
      </c>
      <c r="B19" s="30" t="s">
        <v>46</v>
      </c>
      <c r="C19" s="27">
        <v>203537.0</v>
      </c>
      <c r="D19" s="27">
        <v>29.0</v>
      </c>
      <c r="E19" s="27">
        <v>56.0</v>
      </c>
      <c r="F19" s="32">
        <v>0.518</v>
      </c>
      <c r="G19" s="29">
        <v>2.0</v>
      </c>
    </row>
    <row r="20" ht="12.75" customHeight="1">
      <c r="A20" s="25" t="s">
        <v>47</v>
      </c>
      <c r="B20" s="30" t="s">
        <v>48</v>
      </c>
      <c r="C20" s="27">
        <v>522361.0</v>
      </c>
      <c r="D20" s="27">
        <v>52218.0</v>
      </c>
      <c r="E20" s="27">
        <v>149833.0</v>
      </c>
      <c r="F20" s="28">
        <v>0.349</v>
      </c>
      <c r="G20" s="29">
        <v>67.0</v>
      </c>
    </row>
    <row r="21" ht="12.75" customHeight="1">
      <c r="A21" s="25" t="s">
        <v>49</v>
      </c>
      <c r="B21" s="30" t="s">
        <v>50</v>
      </c>
      <c r="C21" s="27">
        <v>126514.0</v>
      </c>
      <c r="D21" s="27">
        <v>0.0</v>
      </c>
      <c r="E21" s="27">
        <v>311.0</v>
      </c>
      <c r="F21" s="32">
        <v>0.0</v>
      </c>
      <c r="G21" s="29">
        <v>0.0</v>
      </c>
    </row>
    <row r="22" ht="12.75" customHeight="1">
      <c r="A22" s="25" t="s">
        <v>51</v>
      </c>
      <c r="B22" s="30" t="s">
        <v>34</v>
      </c>
      <c r="C22" s="27">
        <v>1461218.0</v>
      </c>
      <c r="D22" s="27">
        <v>169476.0</v>
      </c>
      <c r="E22" s="27">
        <v>1414668.0</v>
      </c>
      <c r="F22" s="28">
        <v>0.12</v>
      </c>
      <c r="G22" s="29">
        <v>52.0</v>
      </c>
    </row>
    <row r="23" ht="12.75" customHeight="1">
      <c r="A23" s="25" t="s">
        <v>52</v>
      </c>
      <c r="B23" s="30" t="s">
        <v>53</v>
      </c>
      <c r="C23" s="27">
        <v>391465.0</v>
      </c>
      <c r="D23" s="27">
        <v>166.0</v>
      </c>
      <c r="E23" s="27">
        <v>61133.0</v>
      </c>
      <c r="F23" s="28">
        <v>0.003</v>
      </c>
      <c r="G23" s="29">
        <v>1.0</v>
      </c>
    </row>
    <row r="24" ht="12.75" customHeight="1">
      <c r="A24" s="25" t="s">
        <v>54</v>
      </c>
      <c r="B24" s="30" t="s">
        <v>34</v>
      </c>
      <c r="C24" s="27">
        <v>881349.0</v>
      </c>
      <c r="D24" s="27">
        <v>155579.0</v>
      </c>
      <c r="E24" s="27">
        <v>333916.0</v>
      </c>
      <c r="F24" s="28">
        <v>0.466</v>
      </c>
      <c r="G24" s="29">
        <v>123.0</v>
      </c>
    </row>
    <row r="25" ht="12.75" customHeight="1">
      <c r="A25" s="25" t="s">
        <v>55</v>
      </c>
      <c r="B25" s="30" t="s">
        <v>56</v>
      </c>
      <c r="C25" s="27">
        <v>531541.0</v>
      </c>
      <c r="D25" s="27">
        <v>79272.0</v>
      </c>
      <c r="E25" s="27">
        <v>146862.0</v>
      </c>
      <c r="F25" s="28">
        <v>0.54</v>
      </c>
      <c r="G25" s="29">
        <v>74.0</v>
      </c>
    </row>
    <row r="26" ht="12.75" customHeight="1">
      <c r="A26" s="25" t="s">
        <v>57</v>
      </c>
      <c r="B26" s="30" t="s">
        <v>58</v>
      </c>
      <c r="C26" s="27">
        <v>365662.0</v>
      </c>
      <c r="D26" s="27">
        <v>21502.0</v>
      </c>
      <c r="E26" s="27">
        <v>46583.0</v>
      </c>
      <c r="F26" s="32">
        <v>0.462</v>
      </c>
      <c r="G26" s="29">
        <v>22.0</v>
      </c>
    </row>
    <row r="27" ht="12.75" customHeight="1">
      <c r="A27" s="25" t="s">
        <v>59</v>
      </c>
      <c r="B27" s="30" t="s">
        <v>1</v>
      </c>
      <c r="C27" s="27">
        <v>1389072.0</v>
      </c>
      <c r="D27" s="27">
        <v>62507.0</v>
      </c>
      <c r="E27" s="27">
        <v>466754.0</v>
      </c>
      <c r="F27" s="28">
        <v>0.134</v>
      </c>
      <c r="G27" s="29">
        <v>53.0</v>
      </c>
    </row>
    <row r="28" ht="12.75" customHeight="1">
      <c r="A28" s="25" t="s">
        <v>60</v>
      </c>
      <c r="B28" s="30" t="s">
        <v>25</v>
      </c>
      <c r="C28" s="27">
        <v>998957.0</v>
      </c>
      <c r="D28" s="27">
        <v>74244.0</v>
      </c>
      <c r="E28" s="27">
        <v>403492.0</v>
      </c>
      <c r="F28" s="28">
        <v>0.184</v>
      </c>
      <c r="G28" s="29">
        <v>74.0</v>
      </c>
    </row>
    <row r="29" ht="12.75" customHeight="1">
      <c r="A29" s="25" t="s">
        <v>61</v>
      </c>
      <c r="B29" s="30" t="s">
        <v>23</v>
      </c>
      <c r="C29" s="27">
        <v>513021.0</v>
      </c>
      <c r="D29" s="27">
        <v>90789.0</v>
      </c>
      <c r="E29" s="27">
        <v>367982.0</v>
      </c>
      <c r="F29" s="32">
        <v>0.247</v>
      </c>
      <c r="G29" s="29">
        <v>39.0</v>
      </c>
    </row>
    <row r="30" ht="12.75" customHeight="1">
      <c r="A30" s="25" t="s">
        <v>62</v>
      </c>
      <c r="B30" s="30" t="s">
        <v>63</v>
      </c>
      <c r="C30" s="27">
        <v>353835.0</v>
      </c>
      <c r="D30" s="27">
        <v>400.0</v>
      </c>
      <c r="E30" s="27">
        <v>10981.0</v>
      </c>
      <c r="F30" s="32">
        <v>0.036</v>
      </c>
      <c r="G30" s="29">
        <v>2.0</v>
      </c>
    </row>
    <row r="31" ht="12.75" customHeight="1">
      <c r="A31" s="25" t="s">
        <v>64</v>
      </c>
      <c r="B31" s="30" t="s">
        <v>65</v>
      </c>
      <c r="C31" s="27">
        <v>127903.0</v>
      </c>
      <c r="D31" s="27">
        <v>4411.0</v>
      </c>
      <c r="E31" s="27">
        <v>4411.0</v>
      </c>
      <c r="F31" s="32">
        <v>1.0</v>
      </c>
      <c r="G31" s="29">
        <v>11.0</v>
      </c>
    </row>
    <row r="32" ht="12.75" customHeight="1">
      <c r="A32" s="25" t="s">
        <v>66</v>
      </c>
      <c r="B32" s="30" t="s">
        <v>30</v>
      </c>
      <c r="C32" s="27">
        <v>975078.0</v>
      </c>
      <c r="D32" s="27">
        <v>552381.0</v>
      </c>
      <c r="E32" s="27">
        <v>2888403.0</v>
      </c>
      <c r="F32" s="28">
        <v>0.191</v>
      </c>
      <c r="G32" s="29">
        <v>101.0</v>
      </c>
    </row>
    <row r="33" ht="12.75" customHeight="1">
      <c r="A33" s="25" t="s">
        <v>67</v>
      </c>
      <c r="B33" s="30" t="s">
        <v>30</v>
      </c>
      <c r="C33" s="27">
        <v>270495.0</v>
      </c>
      <c r="D33" s="31">
        <v>0.0</v>
      </c>
      <c r="E33" s="31">
        <v>0.0</v>
      </c>
      <c r="F33" s="31" t="s">
        <v>28</v>
      </c>
      <c r="G33" s="29">
        <v>0.0</v>
      </c>
    </row>
    <row r="34" ht="12.75" customHeight="1">
      <c r="A34" s="25" t="s">
        <v>68</v>
      </c>
      <c r="B34" s="30" t="s">
        <v>37</v>
      </c>
      <c r="C34" s="27">
        <v>827196.0</v>
      </c>
      <c r="D34" s="27">
        <v>30556.0</v>
      </c>
      <c r="E34" s="27">
        <v>70349.0</v>
      </c>
      <c r="F34" s="28">
        <v>0.434</v>
      </c>
      <c r="G34" s="29">
        <v>44.0</v>
      </c>
    </row>
    <row r="35" ht="12.75" customHeight="1">
      <c r="A35" s="25" t="s">
        <v>69</v>
      </c>
      <c r="B35" s="30" t="s">
        <v>34</v>
      </c>
      <c r="C35" s="27">
        <v>780814.0</v>
      </c>
      <c r="D35" s="27">
        <v>132769.0</v>
      </c>
      <c r="E35" s="27">
        <v>393818.0</v>
      </c>
      <c r="F35" s="28">
        <v>0.337</v>
      </c>
      <c r="G35" s="29">
        <v>101.0</v>
      </c>
    </row>
    <row r="36" ht="12.75" customHeight="1">
      <c r="A36" s="25" t="s">
        <v>70</v>
      </c>
      <c r="B36" s="30" t="s">
        <v>71</v>
      </c>
      <c r="C36" s="27">
        <v>325493.0</v>
      </c>
      <c r="D36" s="27">
        <v>10013.0</v>
      </c>
      <c r="E36" s="27">
        <v>10474.0</v>
      </c>
      <c r="F36" s="28">
        <v>0.956</v>
      </c>
      <c r="G36" s="29">
        <v>22.0</v>
      </c>
    </row>
    <row r="37" ht="12.75" customHeight="1">
      <c r="A37" s="25" t="s">
        <v>72</v>
      </c>
      <c r="B37" s="30" t="s">
        <v>27</v>
      </c>
      <c r="C37" s="27">
        <v>254260.0</v>
      </c>
      <c r="D37" s="27">
        <v>3923.0</v>
      </c>
      <c r="E37" s="27">
        <v>13838.0</v>
      </c>
      <c r="F37" s="28">
        <v>0.283</v>
      </c>
      <c r="G37" s="29">
        <v>22.0</v>
      </c>
    </row>
    <row r="38" ht="12.75" customHeight="1">
      <c r="A38" s="25" t="s">
        <v>73</v>
      </c>
      <c r="B38" s="30" t="s">
        <v>37</v>
      </c>
      <c r="C38" s="27">
        <v>692586.0</v>
      </c>
      <c r="D38" s="27">
        <v>29649.0</v>
      </c>
      <c r="E38" s="27">
        <v>70217.0</v>
      </c>
      <c r="F38" s="32">
        <v>0.422</v>
      </c>
      <c r="G38" s="29">
        <v>13.0</v>
      </c>
    </row>
    <row r="39" ht="12.75" customHeight="1">
      <c r="A39" s="25" t="s">
        <v>74</v>
      </c>
      <c r="B39" s="30" t="s">
        <v>25</v>
      </c>
      <c r="C39" s="27">
        <v>309176.0</v>
      </c>
      <c r="D39" s="27">
        <v>17104.0</v>
      </c>
      <c r="E39" s="27">
        <v>39384.0</v>
      </c>
      <c r="F39" s="28">
        <v>0.434</v>
      </c>
      <c r="G39" s="29">
        <v>38.0</v>
      </c>
    </row>
    <row r="40" ht="12.75" customHeight="1">
      <c r="A40" s="25" t="s">
        <v>75</v>
      </c>
      <c r="B40" s="30" t="s">
        <v>30</v>
      </c>
      <c r="C40" s="27">
        <v>912023.0</v>
      </c>
      <c r="D40" s="27">
        <v>115377.0</v>
      </c>
      <c r="E40" s="27">
        <v>475849.0</v>
      </c>
      <c r="F40" s="28">
        <v>0.242</v>
      </c>
      <c r="G40" s="29">
        <v>98.0</v>
      </c>
    </row>
    <row r="41" ht="12.75" customHeight="1">
      <c r="A41" s="25" t="s">
        <v>76</v>
      </c>
      <c r="B41" s="30" t="s">
        <v>77</v>
      </c>
      <c r="C41" s="27">
        <v>586269.0</v>
      </c>
      <c r="D41" s="27">
        <v>54695.0</v>
      </c>
      <c r="E41" s="27">
        <v>59812.0</v>
      </c>
      <c r="F41" s="28">
        <v>0.914</v>
      </c>
      <c r="G41" s="29">
        <v>50.0</v>
      </c>
    </row>
    <row r="42" ht="12.75" customHeight="1">
      <c r="A42" s="25" t="s">
        <v>78</v>
      </c>
      <c r="B42" s="30" t="s">
        <v>30</v>
      </c>
      <c r="C42" s="27">
        <v>841424.0</v>
      </c>
      <c r="D42" s="27">
        <v>62110.0</v>
      </c>
      <c r="E42" s="27">
        <v>1042138.0</v>
      </c>
      <c r="F42" s="28">
        <v>0.06</v>
      </c>
      <c r="G42" s="29">
        <v>34.0</v>
      </c>
    </row>
    <row r="43" ht="12.75" customHeight="1">
      <c r="A43" s="25" t="s">
        <v>79</v>
      </c>
      <c r="B43" s="30" t="s">
        <v>80</v>
      </c>
      <c r="C43" s="27">
        <v>182262.0</v>
      </c>
      <c r="D43" s="27">
        <v>1528.0</v>
      </c>
      <c r="E43" s="27">
        <v>3113.0</v>
      </c>
      <c r="F43" s="32">
        <v>0.491</v>
      </c>
      <c r="G43" s="29">
        <v>8.0</v>
      </c>
    </row>
    <row r="44" ht="12.75" customHeight="1">
      <c r="A44" s="25" t="s">
        <v>81</v>
      </c>
      <c r="B44" s="25" t="s">
        <v>37</v>
      </c>
      <c r="C44" s="33">
        <v>885869.0</v>
      </c>
      <c r="D44" s="34">
        <v>6144.0</v>
      </c>
      <c r="E44" s="34">
        <v>14263.0</v>
      </c>
      <c r="F44" s="32">
        <v>0.431</v>
      </c>
      <c r="G44" s="35">
        <v>3.0</v>
      </c>
    </row>
    <row r="45" ht="12.75" customHeight="1">
      <c r="A45" s="25" t="s">
        <v>82</v>
      </c>
      <c r="B45" s="25" t="s">
        <v>25</v>
      </c>
      <c r="C45" s="33">
        <v>426756.0</v>
      </c>
      <c r="D45" s="34">
        <v>129719.0</v>
      </c>
      <c r="E45" s="34">
        <v>318859.0</v>
      </c>
      <c r="F45" s="28">
        <v>0.407</v>
      </c>
      <c r="G45" s="35">
        <v>101.0</v>
      </c>
    </row>
    <row r="46" ht="12.75" customHeight="1">
      <c r="A46" s="25" t="s">
        <v>83</v>
      </c>
      <c r="B46" s="25" t="s">
        <v>46</v>
      </c>
      <c r="C46" s="33">
        <v>406149.0</v>
      </c>
      <c r="D46" s="34">
        <v>2628.0</v>
      </c>
      <c r="E46" s="34">
        <v>6070.0</v>
      </c>
      <c r="F46" s="28">
        <v>0.433</v>
      </c>
      <c r="G46" s="35">
        <v>7.0</v>
      </c>
    </row>
    <row r="47" ht="12.75" customHeight="1">
      <c r="A47" s="25" t="s">
        <v>84</v>
      </c>
      <c r="B47" s="25" t="s">
        <v>85</v>
      </c>
      <c r="C47" s="33">
        <v>833353.0</v>
      </c>
      <c r="D47" s="34">
        <v>2213.0</v>
      </c>
      <c r="E47" s="34">
        <v>54163.0</v>
      </c>
      <c r="F47" s="32">
        <v>0.041</v>
      </c>
      <c r="G47" s="35">
        <v>3.0</v>
      </c>
    </row>
    <row r="48" ht="12.75" customHeight="1">
      <c r="A48" s="25" t="s">
        <v>86</v>
      </c>
      <c r="B48" s="25" t="s">
        <v>27</v>
      </c>
      <c r="C48" s="33">
        <v>177754.0</v>
      </c>
      <c r="D48" s="34">
        <v>1074.0</v>
      </c>
      <c r="E48" s="34">
        <v>1411.0</v>
      </c>
      <c r="F48" s="32">
        <v>0.761</v>
      </c>
      <c r="G48" s="35">
        <v>5.0</v>
      </c>
    </row>
    <row r="49" ht="12.75" customHeight="1">
      <c r="A49" s="25" t="s">
        <v>87</v>
      </c>
      <c r="B49" s="25" t="s">
        <v>63</v>
      </c>
      <c r="C49" s="33">
        <v>220681.0</v>
      </c>
      <c r="D49" s="34">
        <v>0.0</v>
      </c>
      <c r="E49" s="34">
        <v>2606.0</v>
      </c>
      <c r="F49" s="32">
        <v>0.0</v>
      </c>
      <c r="G49" s="35">
        <v>0.0</v>
      </c>
    </row>
    <row r="50" ht="12.75" customHeight="1">
      <c r="A50" s="25" t="s">
        <v>88</v>
      </c>
      <c r="B50" s="25" t="s">
        <v>89</v>
      </c>
      <c r="C50" s="33">
        <v>126983.0</v>
      </c>
      <c r="D50" s="34">
        <v>388.0</v>
      </c>
      <c r="E50" s="34">
        <v>1447.0</v>
      </c>
      <c r="F50" s="32">
        <v>0.268</v>
      </c>
      <c r="G50" s="35">
        <v>7.0</v>
      </c>
    </row>
    <row r="51" ht="12.75" customHeight="1">
      <c r="A51" s="25" t="s">
        <v>90</v>
      </c>
      <c r="B51" s="25" t="s">
        <v>91</v>
      </c>
      <c r="C51" s="33">
        <v>150388.0</v>
      </c>
      <c r="D51" s="34">
        <v>0.0</v>
      </c>
      <c r="E51" s="34">
        <v>0.0</v>
      </c>
      <c r="F51" s="31" t="s">
        <v>28</v>
      </c>
      <c r="G51" s="35">
        <v>0.0</v>
      </c>
    </row>
    <row r="52" ht="12.75" customHeight="1">
      <c r="A52" s="25" t="s">
        <v>92</v>
      </c>
      <c r="B52" s="25" t="s">
        <v>93</v>
      </c>
      <c r="C52" s="33">
        <v>579304.0</v>
      </c>
      <c r="D52" s="34">
        <v>17581.0</v>
      </c>
      <c r="E52" s="34">
        <v>110582.0</v>
      </c>
      <c r="F52" s="28">
        <v>0.159</v>
      </c>
      <c r="G52" s="35">
        <v>40.0</v>
      </c>
    </row>
    <row r="53" ht="12.75" customHeight="1">
      <c r="A53" s="25" t="s">
        <v>94</v>
      </c>
      <c r="B53" s="25" t="s">
        <v>95</v>
      </c>
      <c r="C53" s="33">
        <v>946942.0</v>
      </c>
      <c r="D53" s="34">
        <v>199849.0</v>
      </c>
      <c r="E53" s="34">
        <v>543289.0</v>
      </c>
      <c r="F53" s="28">
        <v>0.368</v>
      </c>
      <c r="G53" s="35">
        <v>94.0</v>
      </c>
    </row>
    <row r="54" ht="12.75" customHeight="1">
      <c r="A54" s="25" t="s">
        <v>96</v>
      </c>
      <c r="B54" s="25" t="s">
        <v>97</v>
      </c>
      <c r="C54" s="33">
        <v>739594.0</v>
      </c>
      <c r="D54" s="34">
        <v>108225.0</v>
      </c>
      <c r="E54" s="34">
        <v>377460.0</v>
      </c>
      <c r="F54" s="32">
        <v>0.287</v>
      </c>
      <c r="G54" s="35">
        <v>52.0</v>
      </c>
    </row>
    <row r="55" ht="12.75" customHeight="1">
      <c r="A55" s="25" t="s">
        <v>98</v>
      </c>
      <c r="B55" s="25" t="s">
        <v>48</v>
      </c>
      <c r="C55" s="33">
        <v>635945.0</v>
      </c>
      <c r="D55" s="34">
        <v>9100.0</v>
      </c>
      <c r="E55" s="34">
        <v>224275.0</v>
      </c>
      <c r="F55" s="28">
        <v>0.041</v>
      </c>
      <c r="G55" s="35">
        <v>30.0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36" t="s">
        <v>99</v>
      </c>
      <c r="B1" s="37" t="s">
        <v>100</v>
      </c>
      <c r="C1" s="37" t="s">
        <v>101</v>
      </c>
      <c r="D1" s="36" t="s">
        <v>102</v>
      </c>
    </row>
    <row r="2" ht="12.75" customHeight="1">
      <c r="A2" s="38" t="s">
        <v>11</v>
      </c>
      <c r="B2" s="26" t="s">
        <v>11</v>
      </c>
      <c r="C2" s="39" t="s">
        <v>11</v>
      </c>
      <c r="D2" s="26" t="s">
        <v>11</v>
      </c>
    </row>
    <row r="3" ht="12.75" customHeight="1">
      <c r="A3" s="38"/>
      <c r="B3" s="40"/>
      <c r="C3" s="41"/>
      <c r="D3" s="40" t="s">
        <v>10</v>
      </c>
    </row>
    <row r="4" ht="12.75" customHeight="1">
      <c r="A4" s="42"/>
      <c r="B4" s="43"/>
      <c r="C4" s="44"/>
      <c r="D4" s="45"/>
    </row>
    <row r="5" ht="12.75" customHeight="1">
      <c r="A5" s="46"/>
      <c r="B5" s="43"/>
      <c r="C5" s="44"/>
      <c r="D5" s="45"/>
    </row>
  </sheetData>
  <drawing r:id="rId1"/>
</worksheet>
</file>