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<sst xmlns="http://schemas.openxmlformats.org/spreadsheetml/2006/main" count="61" uniqueCount="56">
  <si>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</si>
  <si>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</si>
  <si>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</si>
  <si>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</si>
  <si>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</si>
  <si>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</si>
  <si>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</si>
  <si>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</si>
  <si>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</si>
  <si>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</si>
  <si>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</si>
  <si>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JAN-JUN</t>
  </si>
  <si>
    <t>SOURCE: CRCO</t>
  </si>
  <si>
    <t>En-route service units</t>
  </si>
  <si>
    <t>Actual [2024]</t>
  </si>
  <si>
    <t>Daily ER SU [2024]</t>
  </si>
  <si>
    <t>Actual [2025]</t>
  </si>
  <si>
    <t>Daily ER SU [actual, 2025]</t>
  </si>
  <si>
    <t>25/24 (%)</t>
  </si>
  <si>
    <t>Det. [2025]</t>
  </si>
  <si>
    <t>Daily ER SU [2025]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</si>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</sst>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0" fillId="3" fontId="14" numFmtId="164" xfId="0" applyAlignment="1" applyFont="1" applyNumberFormat="1">
      <alignment horizontal="center" readingOrder="0" shrinkToFit="0" vertical="bottom" wrapText="0"/>
    </xf>
    <xf borderId="0" fillId="3" fontId="12" numFmtId="17" xfId="0" applyAlignment="1" applyFont="1" applyNumberFormat="1">
      <alignment vertical="bottom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45853.0</v>
      </c>
      <c r="C2" s="10" t="s">
        <v>7</v>
      </c>
      <c r="D2" s="11">
        <v>45838.0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182.0</v>
      </c>
      <c r="D4" s="22"/>
      <c r="E4" s="21">
        <v>181.0</v>
      </c>
      <c r="F4" s="22"/>
      <c r="G4" s="22"/>
      <c r="H4" s="21">
        <v>181.0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61186656</v>
      </c>
      <c r="C6" s="26">
        <f t="shared" ref="C6:C35" si="1">B6/C$4</f>
        <v>336190.4176</v>
      </c>
      <c r="D6" s="26">
        <f>sum(D7:D35)</f>
        <v>64709269</v>
      </c>
      <c r="E6" s="26">
        <f t="shared" ref="E6:E35" si="2">D6/E$4</f>
        <v>357509.7735</v>
      </c>
      <c r="F6" s="27">
        <f t="shared" ref="F6:F35" si="3">E6/C6-1</f>
        <v>0.06341452577</v>
      </c>
      <c r="G6" s="26">
        <f>sum(G7:G35)</f>
        <v>63015454</v>
      </c>
      <c r="H6" s="26">
        <f t="shared" ref="H6:H35" si="4">G6/H$4</f>
        <v>348151.6796</v>
      </c>
      <c r="I6" s="27">
        <f t="shared" ref="I6:I35" si="5">D6/G6-1</f>
        <v>0.02687935883</v>
      </c>
    </row>
    <row r="7" ht="12.75" customHeight="1">
      <c r="A7" s="25" t="s">
        <v>23</v>
      </c>
      <c r="B7" s="28">
        <v>1866562.0</v>
      </c>
      <c r="C7" s="26">
        <f t="shared" si="1"/>
        <v>10255.83516</v>
      </c>
      <c r="D7" s="28">
        <v>2091981.0</v>
      </c>
      <c r="E7" s="26">
        <f t="shared" si="2"/>
        <v>11557.90608</v>
      </c>
      <c r="F7" s="27">
        <f t="shared" si="3"/>
        <v>0.1269590327</v>
      </c>
      <c r="G7" s="28">
        <v>1937736.0</v>
      </c>
      <c r="H7" s="26">
        <f t="shared" si="4"/>
        <v>10705.72376</v>
      </c>
      <c r="I7" s="27">
        <f t="shared" si="5"/>
        <v>0.07960062671</v>
      </c>
    </row>
    <row r="8" ht="12.75" customHeight="1">
      <c r="A8" s="25" t="s">
        <v>24</v>
      </c>
      <c r="B8" s="28">
        <v>1210711.0</v>
      </c>
      <c r="C8" s="26">
        <f t="shared" si="1"/>
        <v>6652.258242</v>
      </c>
      <c r="D8" s="28">
        <v>1309081.0</v>
      </c>
      <c r="E8" s="26">
        <f t="shared" si="2"/>
        <v>7232.491713</v>
      </c>
      <c r="F8" s="27">
        <f t="shared" si="3"/>
        <v>0.0872235337</v>
      </c>
      <c r="G8" s="28">
        <v>1236937.0</v>
      </c>
      <c r="H8" s="26">
        <f t="shared" si="4"/>
        <v>6833.906077</v>
      </c>
      <c r="I8" s="27">
        <f t="shared" si="5"/>
        <v>0.05832471662</v>
      </c>
    </row>
    <row r="9" ht="12.75" customHeight="1">
      <c r="A9" s="25" t="s">
        <v>25</v>
      </c>
      <c r="B9" s="28">
        <v>2359407.0</v>
      </c>
      <c r="C9" s="26">
        <f t="shared" si="1"/>
        <v>12963.77473</v>
      </c>
      <c r="D9" s="28">
        <v>2475535.0</v>
      </c>
      <c r="E9" s="26">
        <f t="shared" si="2"/>
        <v>13676.98895</v>
      </c>
      <c r="F9" s="27">
        <f t="shared" si="3"/>
        <v>0.05501593788</v>
      </c>
      <c r="G9" s="28">
        <v>2496524.0</v>
      </c>
      <c r="H9" s="26">
        <f t="shared" si="4"/>
        <v>13792.95028</v>
      </c>
      <c r="I9" s="27">
        <f t="shared" si="5"/>
        <v>-0.008407289495</v>
      </c>
    </row>
    <row r="10" ht="12.75" customHeight="1">
      <c r="A10" s="25" t="s">
        <v>26</v>
      </c>
      <c r="B10" s="28">
        <v>1316199.0</v>
      </c>
      <c r="C10" s="26">
        <f t="shared" si="1"/>
        <v>7231.862637</v>
      </c>
      <c r="D10" s="28">
        <v>1430245.0</v>
      </c>
      <c r="E10" s="26">
        <f t="shared" si="2"/>
        <v>7901.906077</v>
      </c>
      <c r="F10" s="27">
        <f t="shared" si="3"/>
        <v>0.09265157174</v>
      </c>
      <c r="G10" s="28">
        <v>1296905.0</v>
      </c>
      <c r="H10" s="26">
        <f t="shared" si="4"/>
        <v>7165.220994</v>
      </c>
      <c r="I10" s="27">
        <f t="shared" si="5"/>
        <v>0.1028140072</v>
      </c>
    </row>
    <row r="11" ht="12.75" customHeight="1">
      <c r="A11" s="25" t="s">
        <v>27</v>
      </c>
      <c r="B11" s="28">
        <v>818496.0</v>
      </c>
      <c r="C11" s="26">
        <f t="shared" si="1"/>
        <v>4497.230769</v>
      </c>
      <c r="D11" s="28">
        <v>978889.0</v>
      </c>
      <c r="E11" s="26">
        <f t="shared" si="2"/>
        <v>5408.226519</v>
      </c>
      <c r="F11" s="27">
        <f t="shared" si="3"/>
        <v>0.2025681574</v>
      </c>
      <c r="G11" s="28">
        <v>828677.0</v>
      </c>
      <c r="H11" s="26">
        <f t="shared" si="4"/>
        <v>4578.325967</v>
      </c>
      <c r="I11" s="27">
        <f t="shared" si="5"/>
        <v>0.1812672489</v>
      </c>
    </row>
    <row r="12" ht="12.75" customHeight="1">
      <c r="A12" s="25" t="s">
        <v>28</v>
      </c>
      <c r="B12" s="28">
        <v>1100191.0</v>
      </c>
      <c r="C12" s="26">
        <f t="shared" si="1"/>
        <v>6045.005495</v>
      </c>
      <c r="D12" s="28">
        <v>1106993.0</v>
      </c>
      <c r="E12" s="26">
        <f t="shared" si="2"/>
        <v>6115.983425</v>
      </c>
      <c r="F12" s="27">
        <f t="shared" si="3"/>
        <v>0.01174158253</v>
      </c>
      <c r="G12" s="28">
        <v>1153311.0</v>
      </c>
      <c r="H12" s="26">
        <f t="shared" si="4"/>
        <v>6371.883978</v>
      </c>
      <c r="I12" s="27">
        <f t="shared" si="5"/>
        <v>-0.04016089329</v>
      </c>
    </row>
    <row r="13" ht="12.75" customHeight="1">
      <c r="A13" s="25" t="s">
        <v>29</v>
      </c>
      <c r="B13" s="28">
        <v>743626.0</v>
      </c>
      <c r="C13" s="26">
        <f t="shared" si="1"/>
        <v>4085.857143</v>
      </c>
      <c r="D13" s="28">
        <v>737525.0</v>
      </c>
      <c r="E13" s="26">
        <f t="shared" si="2"/>
        <v>4074.723757</v>
      </c>
      <c r="F13" s="27">
        <f t="shared" si="3"/>
        <v>-0.002724859329</v>
      </c>
      <c r="G13" s="28">
        <v>767225.0</v>
      </c>
      <c r="H13" s="26">
        <f t="shared" si="4"/>
        <v>4238.812155</v>
      </c>
      <c r="I13" s="27">
        <f t="shared" si="5"/>
        <v>-0.03871093877</v>
      </c>
    </row>
    <row r="14" ht="12.75" customHeight="1">
      <c r="A14" s="25" t="s">
        <v>30</v>
      </c>
      <c r="B14" s="28">
        <v>250282.0</v>
      </c>
      <c r="C14" s="26">
        <f t="shared" si="1"/>
        <v>1375.175824</v>
      </c>
      <c r="D14" s="28">
        <v>300903.0</v>
      </c>
      <c r="E14" s="26">
        <f t="shared" si="2"/>
        <v>1662.447514</v>
      </c>
      <c r="F14" s="27">
        <f t="shared" si="3"/>
        <v>0.2088981529</v>
      </c>
      <c r="G14" s="28">
        <v>256969.0</v>
      </c>
      <c r="H14" s="26">
        <f t="shared" si="4"/>
        <v>1419.718232</v>
      </c>
      <c r="I14" s="27">
        <f t="shared" si="5"/>
        <v>0.1709700392</v>
      </c>
    </row>
    <row r="15" ht="12.75" customHeight="1">
      <c r="A15" s="25" t="s">
        <v>31</v>
      </c>
      <c r="B15" s="28">
        <v>366905.0</v>
      </c>
      <c r="C15" s="26">
        <f t="shared" si="1"/>
        <v>2015.961538</v>
      </c>
      <c r="D15" s="28">
        <v>333876.0</v>
      </c>
      <c r="E15" s="26">
        <f t="shared" si="2"/>
        <v>1844.618785</v>
      </c>
      <c r="F15" s="27">
        <f t="shared" si="3"/>
        <v>-0.08499306691</v>
      </c>
      <c r="G15" s="28">
        <v>397294.0</v>
      </c>
      <c r="H15" s="26">
        <f t="shared" si="4"/>
        <v>2194.994475</v>
      </c>
      <c r="I15" s="27">
        <f t="shared" si="5"/>
        <v>-0.1596248622</v>
      </c>
    </row>
    <row r="16" ht="12.75" customHeight="1">
      <c r="A16" s="25" t="s">
        <v>32</v>
      </c>
      <c r="B16" s="28">
        <v>1.0592433E7</v>
      </c>
      <c r="C16" s="26">
        <f t="shared" si="1"/>
        <v>58200.18132</v>
      </c>
      <c r="D16" s="28">
        <v>1.1121978E7</v>
      </c>
      <c r="E16" s="26">
        <f t="shared" si="2"/>
        <v>61447.39227</v>
      </c>
      <c r="F16" s="27">
        <f t="shared" si="3"/>
        <v>0.05579382869</v>
      </c>
      <c r="G16" s="28">
        <v>1.0635397E7</v>
      </c>
      <c r="H16" s="26">
        <f t="shared" si="4"/>
        <v>58759.09945</v>
      </c>
      <c r="I16" s="27">
        <f t="shared" si="5"/>
        <v>0.0457510895</v>
      </c>
    </row>
    <row r="17" ht="12.75" customHeight="1">
      <c r="A17" s="25" t="s">
        <v>33</v>
      </c>
      <c r="B17" s="28">
        <v>6827523.0</v>
      </c>
      <c r="C17" s="26">
        <f t="shared" si="1"/>
        <v>37513.86264</v>
      </c>
      <c r="D17" s="28">
        <v>7065997.0</v>
      </c>
      <c r="E17" s="26">
        <f t="shared" si="2"/>
        <v>39038.65746</v>
      </c>
      <c r="F17" s="27">
        <f t="shared" si="3"/>
        <v>0.04064616955</v>
      </c>
      <c r="G17" s="28">
        <v>6955789.0</v>
      </c>
      <c r="H17" s="26">
        <f t="shared" si="4"/>
        <v>38429.77348</v>
      </c>
      <c r="I17" s="27">
        <f t="shared" si="5"/>
        <v>0.01584406888</v>
      </c>
    </row>
    <row r="18" ht="12.75" customHeight="1">
      <c r="A18" s="25" t="s">
        <v>34</v>
      </c>
      <c r="B18" s="28">
        <v>3240425.0</v>
      </c>
      <c r="C18" s="26">
        <f t="shared" si="1"/>
        <v>17804.53297</v>
      </c>
      <c r="D18" s="28">
        <v>3696556.0</v>
      </c>
      <c r="E18" s="26">
        <f t="shared" si="2"/>
        <v>20422.96133</v>
      </c>
      <c r="F18" s="27">
        <f t="shared" si="3"/>
        <v>0.147065265</v>
      </c>
      <c r="G18" s="28">
        <v>3294111.0</v>
      </c>
      <c r="H18" s="26">
        <f t="shared" si="4"/>
        <v>18199.50829</v>
      </c>
      <c r="I18" s="27">
        <f t="shared" si="5"/>
        <v>0.1221710501</v>
      </c>
    </row>
    <row r="19" ht="12.75" customHeight="1">
      <c r="A19" s="25" t="s">
        <v>35</v>
      </c>
      <c r="B19" s="28">
        <v>1846644.0</v>
      </c>
      <c r="C19" s="26">
        <f t="shared" si="1"/>
        <v>10146.3956</v>
      </c>
      <c r="D19" s="28">
        <v>1978955.0</v>
      </c>
      <c r="E19" s="26">
        <f t="shared" si="2"/>
        <v>10933.45304</v>
      </c>
      <c r="F19" s="27">
        <f t="shared" si="3"/>
        <v>0.07757015052</v>
      </c>
      <c r="G19" s="28">
        <v>1894746.0</v>
      </c>
      <c r="H19" s="26">
        <f t="shared" si="4"/>
        <v>10468.20994</v>
      </c>
      <c r="I19" s="27">
        <f t="shared" si="5"/>
        <v>0.04444342408</v>
      </c>
    </row>
    <row r="20" ht="12.75" customHeight="1">
      <c r="A20" s="25" t="s">
        <v>36</v>
      </c>
      <c r="B20" s="28">
        <v>2393639.0</v>
      </c>
      <c r="C20" s="26">
        <f t="shared" si="1"/>
        <v>13151.86264</v>
      </c>
      <c r="D20" s="28">
        <v>2467330.0</v>
      </c>
      <c r="E20" s="26">
        <f t="shared" si="2"/>
        <v>13631.65746</v>
      </c>
      <c r="F20" s="27">
        <f t="shared" si="3"/>
        <v>0.0364811308</v>
      </c>
      <c r="G20" s="28">
        <v>2483171.0</v>
      </c>
      <c r="H20" s="26">
        <f t="shared" si="4"/>
        <v>13719.1768</v>
      </c>
      <c r="I20" s="27">
        <f t="shared" si="5"/>
        <v>-0.006379343187</v>
      </c>
    </row>
    <row r="21" ht="12.75" customHeight="1">
      <c r="A21" s="25" t="s">
        <v>37</v>
      </c>
      <c r="B21" s="28">
        <v>5233288.0</v>
      </c>
      <c r="C21" s="26">
        <f t="shared" si="1"/>
        <v>28754.32967</v>
      </c>
      <c r="D21" s="28">
        <v>5617282.0</v>
      </c>
      <c r="E21" s="26">
        <f t="shared" si="2"/>
        <v>31034.70718</v>
      </c>
      <c r="F21" s="27">
        <f t="shared" si="3"/>
        <v>0.07930553548</v>
      </c>
      <c r="G21" s="28">
        <v>5555959.0</v>
      </c>
      <c r="H21" s="26">
        <f t="shared" si="4"/>
        <v>30695.90608</v>
      </c>
      <c r="I21" s="27">
        <f t="shared" si="5"/>
        <v>0.01103733847</v>
      </c>
    </row>
    <row r="22" ht="12.75" customHeight="1">
      <c r="A22" s="25" t="s">
        <v>38</v>
      </c>
      <c r="B22" s="28">
        <v>257763.0</v>
      </c>
      <c r="C22" s="26">
        <f t="shared" si="1"/>
        <v>1416.28022</v>
      </c>
      <c r="D22" s="28">
        <v>285230.0</v>
      </c>
      <c r="E22" s="26">
        <f t="shared" si="2"/>
        <v>1575.856354</v>
      </c>
      <c r="F22" s="27">
        <f t="shared" si="3"/>
        <v>0.1126727124</v>
      </c>
      <c r="G22" s="28">
        <v>258825.0</v>
      </c>
      <c r="H22" s="26">
        <f t="shared" si="4"/>
        <v>1429.972376</v>
      </c>
      <c r="I22" s="27">
        <f t="shared" si="5"/>
        <v>0.1020187385</v>
      </c>
    </row>
    <row r="23" ht="12.75" customHeight="1">
      <c r="A23" s="25" t="s">
        <v>39</v>
      </c>
      <c r="B23" s="28">
        <v>206473.0</v>
      </c>
      <c r="C23" s="26">
        <f t="shared" si="1"/>
        <v>1134.467033</v>
      </c>
      <c r="D23" s="28">
        <v>226944.0</v>
      </c>
      <c r="E23" s="26">
        <f t="shared" si="2"/>
        <v>1253.834254</v>
      </c>
      <c r="F23" s="27">
        <f t="shared" si="3"/>
        <v>0.1052187659</v>
      </c>
      <c r="G23" s="28">
        <v>217337.0</v>
      </c>
      <c r="H23" s="26">
        <f t="shared" si="4"/>
        <v>1200.756906</v>
      </c>
      <c r="I23" s="27">
        <f t="shared" si="5"/>
        <v>0.04420324197</v>
      </c>
    </row>
    <row r="24" ht="12.75" customHeight="1">
      <c r="A24" s="25" t="s">
        <v>40</v>
      </c>
      <c r="B24" s="28">
        <v>541672.0</v>
      </c>
      <c r="C24" s="26">
        <f t="shared" si="1"/>
        <v>2976.21978</v>
      </c>
      <c r="D24" s="28">
        <v>629959.0</v>
      </c>
      <c r="E24" s="26">
        <f t="shared" si="2"/>
        <v>3480.436464</v>
      </c>
      <c r="F24" s="27">
        <f t="shared" si="3"/>
        <v>0.1694151377</v>
      </c>
      <c r="G24" s="28">
        <v>569037.0</v>
      </c>
      <c r="H24" s="26">
        <f t="shared" si="4"/>
        <v>3143.850829</v>
      </c>
      <c r="I24" s="27">
        <f t="shared" si="5"/>
        <v>0.1070615795</v>
      </c>
    </row>
    <row r="25" ht="12.75" customHeight="1">
      <c r="A25" s="25" t="s">
        <v>41</v>
      </c>
      <c r="B25" s="28">
        <v>1436374.0</v>
      </c>
      <c r="C25" s="26">
        <f t="shared" si="1"/>
        <v>7892.164835</v>
      </c>
      <c r="D25" s="28">
        <v>1391801.0</v>
      </c>
      <c r="E25" s="26">
        <f t="shared" si="2"/>
        <v>7689.508287</v>
      </c>
      <c r="F25" s="27">
        <f t="shared" si="3"/>
        <v>-0.02567819503</v>
      </c>
      <c r="G25" s="28">
        <v>1481244.0</v>
      </c>
      <c r="H25" s="26">
        <f t="shared" si="4"/>
        <v>8183.668508</v>
      </c>
      <c r="I25" s="27">
        <f t="shared" si="5"/>
        <v>-0.06038370451</v>
      </c>
    </row>
    <row r="26" ht="12.75" customHeight="1">
      <c r="A26" s="25" t="s">
        <v>42</v>
      </c>
      <c r="B26" s="28">
        <v>1171064.0</v>
      </c>
      <c r="C26" s="26">
        <f t="shared" si="1"/>
        <v>6434.417582</v>
      </c>
      <c r="D26" s="28">
        <v>1188798.0</v>
      </c>
      <c r="E26" s="26">
        <f t="shared" si="2"/>
        <v>6567.944751</v>
      </c>
      <c r="F26" s="27">
        <f t="shared" si="3"/>
        <v>0.02075202103</v>
      </c>
      <c r="G26" s="28">
        <v>1186350.0</v>
      </c>
      <c r="H26" s="26">
        <f t="shared" si="4"/>
        <v>6554.41989</v>
      </c>
      <c r="I26" s="27">
        <f t="shared" si="5"/>
        <v>0.002063471994</v>
      </c>
    </row>
    <row r="27" ht="12.75" customHeight="1">
      <c r="A27" s="25" t="s">
        <v>43</v>
      </c>
      <c r="B27" s="28">
        <v>1759994.0</v>
      </c>
      <c r="C27" s="26">
        <f t="shared" si="1"/>
        <v>9670.296703</v>
      </c>
      <c r="D27" s="28">
        <v>1803137.0</v>
      </c>
      <c r="E27" s="26">
        <f t="shared" si="2"/>
        <v>9962.082873</v>
      </c>
      <c r="F27" s="27">
        <f t="shared" si="3"/>
        <v>0.03017344541</v>
      </c>
      <c r="G27" s="28">
        <v>1870677.0</v>
      </c>
      <c r="H27" s="26">
        <f t="shared" si="4"/>
        <v>10335.23204</v>
      </c>
      <c r="I27" s="27">
        <f t="shared" si="5"/>
        <v>-0.03610457604</v>
      </c>
    </row>
    <row r="28" ht="12.75" customHeight="1">
      <c r="A28" s="25" t="s">
        <v>44</v>
      </c>
      <c r="B28" s="28">
        <v>2180124.0</v>
      </c>
      <c r="C28" s="26">
        <f t="shared" si="1"/>
        <v>11978.7033</v>
      </c>
      <c r="D28" s="28">
        <v>2365757.0</v>
      </c>
      <c r="E28" s="26">
        <f t="shared" si="2"/>
        <v>13070.48066</v>
      </c>
      <c r="F28" s="27">
        <f t="shared" si="3"/>
        <v>0.09114320133</v>
      </c>
      <c r="G28" s="28">
        <v>2274824.0</v>
      </c>
      <c r="H28" s="26">
        <f t="shared" si="4"/>
        <v>12568.0884</v>
      </c>
      <c r="I28" s="27">
        <f t="shared" si="5"/>
        <v>0.03997364192</v>
      </c>
    </row>
    <row r="29" ht="12.75" customHeight="1">
      <c r="A29" s="25" t="s">
        <v>45</v>
      </c>
      <c r="B29" s="28">
        <v>3062723.0</v>
      </c>
      <c r="C29" s="26">
        <f t="shared" si="1"/>
        <v>16828.14835</v>
      </c>
      <c r="D29" s="28">
        <v>3179022.0</v>
      </c>
      <c r="E29" s="26">
        <f t="shared" si="2"/>
        <v>17563.65746</v>
      </c>
      <c r="F29" s="27">
        <f t="shared" si="3"/>
        <v>0.04370707291</v>
      </c>
      <c r="G29" s="28">
        <v>3258027.0</v>
      </c>
      <c r="H29" s="26">
        <f t="shared" si="4"/>
        <v>18000.14917</v>
      </c>
      <c r="I29" s="27">
        <f t="shared" si="5"/>
        <v>-0.02424933863</v>
      </c>
    </row>
    <row r="30" ht="12.75" customHeight="1">
      <c r="A30" s="25" t="s">
        <v>46</v>
      </c>
      <c r="B30" s="28">
        <v>562861.0</v>
      </c>
      <c r="C30" s="26">
        <f t="shared" si="1"/>
        <v>3092.642857</v>
      </c>
      <c r="D30" s="28">
        <v>525468.0</v>
      </c>
      <c r="E30" s="26">
        <f t="shared" si="2"/>
        <v>2903.138122</v>
      </c>
      <c r="F30" s="27">
        <f t="shared" si="3"/>
        <v>-0.06127598444</v>
      </c>
      <c r="G30" s="28">
        <v>584729.0</v>
      </c>
      <c r="H30" s="26">
        <f t="shared" si="4"/>
        <v>3230.546961</v>
      </c>
      <c r="I30" s="27">
        <f t="shared" si="5"/>
        <v>-0.1013478039</v>
      </c>
    </row>
    <row r="31" ht="12.75" customHeight="1">
      <c r="A31" s="25" t="s">
        <v>47</v>
      </c>
      <c r="B31" s="28">
        <v>310529.0</v>
      </c>
      <c r="C31" s="26">
        <f t="shared" si="1"/>
        <v>1706.203297</v>
      </c>
      <c r="D31" s="28">
        <v>358552.0</v>
      </c>
      <c r="E31" s="26">
        <f t="shared" si="2"/>
        <v>1980.950276</v>
      </c>
      <c r="F31" s="27">
        <f t="shared" si="3"/>
        <v>0.1610282784</v>
      </c>
      <c r="G31" s="28">
        <v>321596.0</v>
      </c>
      <c r="H31" s="26">
        <f t="shared" si="4"/>
        <v>1776.773481</v>
      </c>
      <c r="I31" s="27">
        <f t="shared" si="5"/>
        <v>0.1149143646</v>
      </c>
    </row>
    <row r="32" ht="12.75" customHeight="1">
      <c r="A32" s="25" t="s">
        <v>48</v>
      </c>
      <c r="B32" s="28">
        <v>1023816.0</v>
      </c>
      <c r="C32" s="26">
        <f t="shared" si="1"/>
        <v>5625.362637</v>
      </c>
      <c r="D32" s="28">
        <v>1128728.0</v>
      </c>
      <c r="E32" s="26">
        <f t="shared" si="2"/>
        <v>6236.066298</v>
      </c>
      <c r="F32" s="27">
        <f t="shared" si="3"/>
        <v>0.1085625408</v>
      </c>
      <c r="G32" s="28">
        <v>1064455.0</v>
      </c>
      <c r="H32" s="26">
        <f t="shared" si="4"/>
        <v>5880.966851</v>
      </c>
      <c r="I32" s="27">
        <f t="shared" si="5"/>
        <v>0.06038113401</v>
      </c>
    </row>
    <row r="33" ht="12.75" customHeight="1">
      <c r="A33" s="25" t="s">
        <v>49</v>
      </c>
      <c r="B33" s="28">
        <v>6289152.0</v>
      </c>
      <c r="C33" s="26">
        <f t="shared" si="1"/>
        <v>34555.78022</v>
      </c>
      <c r="D33" s="28">
        <v>6709132.0</v>
      </c>
      <c r="E33" s="26">
        <f t="shared" si="2"/>
        <v>37067.02762</v>
      </c>
      <c r="F33" s="27">
        <f t="shared" si="3"/>
        <v>0.07267228199</v>
      </c>
      <c r="G33" s="28">
        <v>6393650.0</v>
      </c>
      <c r="H33" s="26">
        <f t="shared" si="4"/>
        <v>35324.03315</v>
      </c>
      <c r="I33" s="27">
        <f t="shared" si="5"/>
        <v>0.04934302003</v>
      </c>
    </row>
    <row r="34" ht="12.75" customHeight="1">
      <c r="A34" s="25" t="s">
        <v>50</v>
      </c>
      <c r="B34" s="28">
        <v>1378062.0</v>
      </c>
      <c r="C34" s="26">
        <f t="shared" si="1"/>
        <v>7571.769231</v>
      </c>
      <c r="D34" s="28">
        <v>1381484.0</v>
      </c>
      <c r="E34" s="26">
        <f t="shared" si="2"/>
        <v>7632.508287</v>
      </c>
      <c r="F34" s="27">
        <f t="shared" si="3"/>
        <v>0.008021778619</v>
      </c>
      <c r="G34" s="28">
        <v>1460292.0</v>
      </c>
      <c r="H34" s="26">
        <f t="shared" si="4"/>
        <v>8067.911602</v>
      </c>
      <c r="I34" s="27">
        <f t="shared" si="5"/>
        <v>-0.05396728873</v>
      </c>
    </row>
    <row r="35" ht="12.75" customHeight="1">
      <c r="A35" s="25" t="s">
        <v>51</v>
      </c>
      <c r="B35" s="28">
        <v>839718.0</v>
      </c>
      <c r="C35" s="26">
        <f t="shared" si="1"/>
        <v>4613.835165</v>
      </c>
      <c r="D35" s="28">
        <v>822131.0</v>
      </c>
      <c r="E35" s="26">
        <f t="shared" si="2"/>
        <v>4542.160221</v>
      </c>
      <c r="F35" s="27">
        <f t="shared" si="3"/>
        <v>-0.01553478642</v>
      </c>
      <c r="G35" s="28">
        <v>883660.0</v>
      </c>
      <c r="H35" s="26">
        <f t="shared" si="4"/>
        <v>4882.099448</v>
      </c>
      <c r="I35" s="27">
        <f t="shared" si="5"/>
        <v>-0.06962972184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/>
    </row>
    <row r="4" ht="12.0" customHeight="1">
      <c r="A4" s="32"/>
      <c r="B4" s="33"/>
      <c r="C4" s="34"/>
      <c r="D4" s="35"/>
    </row>
    <row r="5" ht="15.75" customHeight="1">
      <c r="A5" s="36"/>
      <c r="B5" s="37"/>
      <c r="C5" s="38"/>
      <c r="D5" s="39"/>
    </row>
  </sheetData>
  <drawing r:id="rId1"/>
</worksheet>
</file>