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<sst xmlns="http://schemas.openxmlformats.org/spreadsheetml/2006/main" count="61" uniqueCount="56">
  <si>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</si>
  <si>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</si>
  <si>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</si>
  <si>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</si>
  <si>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</si>
  <si>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</si>
  <si>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</si>
  <si>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</si>
  <si>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</si>
  <si>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</si>
  <si>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</si>
  <si>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JAN-AUG</t>
  </si>
  <si>
    <t>SOURCE: CRCO</t>
  </si>
  <si>
    <t>En-route service units</t>
  </si>
  <si>
    <t>Actual [2024]</t>
  </si>
  <si>
    <t>Daily ER SU [2024]</t>
  </si>
  <si>
    <t>Actual [2025]</t>
  </si>
  <si>
    <t>Daily ER SU [actual, 2025]</t>
  </si>
  <si>
    <t>25/24 (%)</t>
  </si>
  <si>
    <t>Det. [2025]</t>
  </si>
  <si>
    <t>Daily ER SU [2025]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</si>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</sst>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  <xf borderId="0" fillId="3" fontId="14" numFmtId="164" xfId="0" applyAlignment="1" applyFont="1" applyNumberFormat="1">
      <alignment horizontal="center" readingOrder="0" shrinkToFit="0" vertical="bottom" wrapText="0"/>
    </xf>
    <xf borderId="0" fillId="3" fontId="12" numFmtId="17" xfId="0" applyAlignment="1" applyFont="1" applyNumberFormat="1">
      <alignment vertical="bottom"/>
    </xf>
    <xf borderId="0" fillId="3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45918.0</v>
      </c>
      <c r="C2" s="10" t="s">
        <v>7</v>
      </c>
      <c r="D2" s="11">
        <v>45900.0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244.0</v>
      </c>
      <c r="D4" s="22"/>
      <c r="E4" s="21">
        <v>243.0</v>
      </c>
      <c r="F4" s="22"/>
      <c r="G4" s="22"/>
      <c r="H4" s="21">
        <v>243.0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87705875</v>
      </c>
      <c r="C6" s="26">
        <f t="shared" ref="C6:C35" si="1">B6/C$4</f>
        <v>359450.3074</v>
      </c>
      <c r="D6" s="26">
        <f>sum(D7:D35)</f>
        <v>92473025</v>
      </c>
      <c r="E6" s="26">
        <f t="shared" ref="E6:E35" si="2">D6/E$4</f>
        <v>380547.428</v>
      </c>
      <c r="F6" s="27">
        <f t="shared" ref="F6:F35" si="3">E6/C6-1</f>
        <v>0.05869273213</v>
      </c>
      <c r="G6" s="26">
        <f>sum(G7:G35)</f>
        <v>90319300</v>
      </c>
      <c r="H6" s="26">
        <f t="shared" ref="H6:H35" si="4">G6/H$4</f>
        <v>371684.3621</v>
      </c>
      <c r="I6" s="27">
        <f t="shared" ref="I6:I35" si="5">D6/G6-1</f>
        <v>0.02384567861</v>
      </c>
    </row>
    <row r="7" ht="12.75" customHeight="1">
      <c r="A7" s="25" t="s">
        <v>23</v>
      </c>
      <c r="B7" s="28">
        <v>2671292.0</v>
      </c>
      <c r="C7" s="26">
        <f t="shared" si="1"/>
        <v>10947.91803</v>
      </c>
      <c r="D7" s="28">
        <v>2993038.0</v>
      </c>
      <c r="E7" s="26">
        <f t="shared" si="2"/>
        <v>12317.02881</v>
      </c>
      <c r="F7" s="27">
        <f t="shared" si="3"/>
        <v>0.1250567249</v>
      </c>
      <c r="G7" s="28">
        <v>2773151.0</v>
      </c>
      <c r="H7" s="26">
        <f t="shared" si="4"/>
        <v>11412.14403</v>
      </c>
      <c r="I7" s="27">
        <f t="shared" si="5"/>
        <v>0.07929139091</v>
      </c>
    </row>
    <row r="8" ht="12.75" customHeight="1">
      <c r="A8" s="25" t="s">
        <v>24</v>
      </c>
      <c r="B8" s="28">
        <v>1687096.0</v>
      </c>
      <c r="C8" s="26">
        <f t="shared" si="1"/>
        <v>6914.327869</v>
      </c>
      <c r="D8" s="28">
        <v>1824093.0</v>
      </c>
      <c r="E8" s="26">
        <f t="shared" si="2"/>
        <v>7506.555556</v>
      </c>
      <c r="F8" s="27">
        <f t="shared" si="3"/>
        <v>0.08565224241</v>
      </c>
      <c r="G8" s="28">
        <v>1723642.0</v>
      </c>
      <c r="H8" s="26">
        <f t="shared" si="4"/>
        <v>7093.176955</v>
      </c>
      <c r="I8" s="27">
        <f t="shared" si="5"/>
        <v>0.05827834318</v>
      </c>
    </row>
    <row r="9" ht="12.75" customHeight="1">
      <c r="A9" s="25" t="s">
        <v>25</v>
      </c>
      <c r="B9" s="28">
        <v>3370097.0</v>
      </c>
      <c r="C9" s="26">
        <f t="shared" si="1"/>
        <v>13811.87295</v>
      </c>
      <c r="D9" s="28">
        <v>3591973.0</v>
      </c>
      <c r="E9" s="26">
        <f t="shared" si="2"/>
        <v>14781.78189</v>
      </c>
      <c r="F9" s="27">
        <f t="shared" si="3"/>
        <v>0.07022283984</v>
      </c>
      <c r="G9" s="28">
        <v>3565950.0</v>
      </c>
      <c r="H9" s="26">
        <f t="shared" si="4"/>
        <v>14674.69136</v>
      </c>
      <c r="I9" s="27">
        <f t="shared" si="5"/>
        <v>0.007297634571</v>
      </c>
    </row>
    <row r="10" ht="12.75" customHeight="1">
      <c r="A10" s="25" t="s">
        <v>26</v>
      </c>
      <c r="B10" s="28">
        <v>2037832.0</v>
      </c>
      <c r="C10" s="26">
        <f t="shared" si="1"/>
        <v>8351.770492</v>
      </c>
      <c r="D10" s="28">
        <v>2159596.0</v>
      </c>
      <c r="E10" s="26">
        <f t="shared" si="2"/>
        <v>8887.226337</v>
      </c>
      <c r="F10" s="27">
        <f t="shared" si="3"/>
        <v>0.06411285441</v>
      </c>
      <c r="G10" s="28">
        <v>2007960.0</v>
      </c>
      <c r="H10" s="26">
        <f t="shared" si="4"/>
        <v>8263.209877</v>
      </c>
      <c r="I10" s="27">
        <f t="shared" si="5"/>
        <v>0.07551744059</v>
      </c>
    </row>
    <row r="11" ht="12.75" customHeight="1">
      <c r="A11" s="25" t="s">
        <v>27</v>
      </c>
      <c r="B11" s="28">
        <v>1197534.0</v>
      </c>
      <c r="C11" s="26">
        <f t="shared" si="1"/>
        <v>4907.92623</v>
      </c>
      <c r="D11" s="28">
        <v>1370443.0</v>
      </c>
      <c r="E11" s="26">
        <f t="shared" si="2"/>
        <v>5639.683128</v>
      </c>
      <c r="F11" s="27">
        <f t="shared" si="3"/>
        <v>0.1490969635</v>
      </c>
      <c r="G11" s="28">
        <v>1212429.0</v>
      </c>
      <c r="H11" s="26">
        <f t="shared" si="4"/>
        <v>4989.419753</v>
      </c>
      <c r="I11" s="27">
        <f t="shared" si="5"/>
        <v>0.1303284563</v>
      </c>
    </row>
    <row r="12" ht="12.75" customHeight="1">
      <c r="A12" s="25" t="s">
        <v>28</v>
      </c>
      <c r="B12" s="28">
        <v>1572349.0</v>
      </c>
      <c r="C12" s="26">
        <f t="shared" si="1"/>
        <v>6444.053279</v>
      </c>
      <c r="D12" s="28">
        <v>1633241.0</v>
      </c>
      <c r="E12" s="26">
        <f t="shared" si="2"/>
        <v>6721.156379</v>
      </c>
      <c r="F12" s="27">
        <f t="shared" si="3"/>
        <v>0.04300136699</v>
      </c>
      <c r="G12" s="28">
        <v>1648267.0</v>
      </c>
      <c r="H12" s="26">
        <f t="shared" si="4"/>
        <v>6782.99177</v>
      </c>
      <c r="I12" s="27">
        <f t="shared" si="5"/>
        <v>-0.009116241483</v>
      </c>
    </row>
    <row r="13" ht="12.75" customHeight="1">
      <c r="A13" s="25" t="s">
        <v>29</v>
      </c>
      <c r="B13" s="28">
        <v>1047542.0</v>
      </c>
      <c r="C13" s="26">
        <f t="shared" si="1"/>
        <v>4293.204918</v>
      </c>
      <c r="D13" s="28">
        <v>1037841.0</v>
      </c>
      <c r="E13" s="26">
        <f t="shared" si="2"/>
        <v>4270.950617</v>
      </c>
      <c r="F13" s="27">
        <f t="shared" si="3"/>
        <v>-0.005183610187</v>
      </c>
      <c r="G13" s="28">
        <v>1080785.0</v>
      </c>
      <c r="H13" s="26">
        <f t="shared" si="4"/>
        <v>4447.674897</v>
      </c>
      <c r="I13" s="27">
        <f t="shared" si="5"/>
        <v>-0.03973408217</v>
      </c>
    </row>
    <row r="14" ht="12.75" customHeight="1">
      <c r="A14" s="25" t="s">
        <v>30</v>
      </c>
      <c r="B14" s="28">
        <v>359989.0</v>
      </c>
      <c r="C14" s="26">
        <f t="shared" si="1"/>
        <v>1475.364754</v>
      </c>
      <c r="D14" s="28">
        <v>427695.0</v>
      </c>
      <c r="E14" s="26">
        <f t="shared" si="2"/>
        <v>1760.061728</v>
      </c>
      <c r="F14" s="27">
        <f t="shared" si="3"/>
        <v>0.1929671788</v>
      </c>
      <c r="G14" s="28">
        <v>369608.0</v>
      </c>
      <c r="H14" s="26">
        <f t="shared" si="4"/>
        <v>1521.020576</v>
      </c>
      <c r="I14" s="27">
        <f t="shared" si="5"/>
        <v>0.1571583948</v>
      </c>
    </row>
    <row r="15" ht="12.75" customHeight="1">
      <c r="A15" s="25" t="s">
        <v>31</v>
      </c>
      <c r="B15" s="28">
        <v>500635.0</v>
      </c>
      <c r="C15" s="26">
        <f t="shared" si="1"/>
        <v>2051.782787</v>
      </c>
      <c r="D15" s="28">
        <v>445372.0</v>
      </c>
      <c r="E15" s="26">
        <f t="shared" si="2"/>
        <v>1832.806584</v>
      </c>
      <c r="F15" s="27">
        <f t="shared" si="3"/>
        <v>-0.1067248463</v>
      </c>
      <c r="G15" s="28">
        <v>542100.0</v>
      </c>
      <c r="H15" s="26">
        <f t="shared" si="4"/>
        <v>2230.864198</v>
      </c>
      <c r="I15" s="27">
        <f t="shared" si="5"/>
        <v>-0.1784320236</v>
      </c>
    </row>
    <row r="16" ht="12.75" customHeight="1">
      <c r="A16" s="25" t="s">
        <v>32</v>
      </c>
      <c r="B16" s="28">
        <v>1.5246592E7</v>
      </c>
      <c r="C16" s="26">
        <f t="shared" si="1"/>
        <v>62486.03279</v>
      </c>
      <c r="D16" s="28">
        <v>1.5898583E7</v>
      </c>
      <c r="E16" s="26">
        <f t="shared" si="2"/>
        <v>65426.26749</v>
      </c>
      <c r="F16" s="27">
        <f t="shared" si="3"/>
        <v>0.04705427072</v>
      </c>
      <c r="G16" s="28">
        <v>1.5308433E7</v>
      </c>
      <c r="H16" s="26">
        <f t="shared" si="4"/>
        <v>62997.66667</v>
      </c>
      <c r="I16" s="27">
        <f t="shared" si="5"/>
        <v>0.03855064722</v>
      </c>
    </row>
    <row r="17" ht="12.75" customHeight="1">
      <c r="A17" s="25" t="s">
        <v>33</v>
      </c>
      <c r="B17" s="28">
        <v>9603658.0</v>
      </c>
      <c r="C17" s="26">
        <f t="shared" si="1"/>
        <v>39359.2541</v>
      </c>
      <c r="D17" s="28">
        <v>9952565.0</v>
      </c>
      <c r="E17" s="26">
        <f t="shared" si="2"/>
        <v>40957.05761</v>
      </c>
      <c r="F17" s="27">
        <f t="shared" si="3"/>
        <v>0.04059537081</v>
      </c>
      <c r="G17" s="28">
        <v>9784080.0</v>
      </c>
      <c r="H17" s="26">
        <f t="shared" si="4"/>
        <v>40263.7037</v>
      </c>
      <c r="I17" s="27">
        <f t="shared" si="5"/>
        <v>0.01722032117</v>
      </c>
    </row>
    <row r="18" ht="12.75" customHeight="1">
      <c r="A18" s="25" t="s">
        <v>34</v>
      </c>
      <c r="B18" s="28">
        <v>5024698.0</v>
      </c>
      <c r="C18" s="26">
        <f t="shared" si="1"/>
        <v>20593.02459</v>
      </c>
      <c r="D18" s="28">
        <v>5499869.0</v>
      </c>
      <c r="E18" s="26">
        <f t="shared" si="2"/>
        <v>22633.20576</v>
      </c>
      <c r="F18" s="27">
        <f t="shared" si="3"/>
        <v>0.09907146773</v>
      </c>
      <c r="G18" s="28">
        <v>5107945.0</v>
      </c>
      <c r="H18" s="26">
        <f t="shared" si="4"/>
        <v>21020.34979</v>
      </c>
      <c r="I18" s="27">
        <f t="shared" si="5"/>
        <v>0.07672831246</v>
      </c>
    </row>
    <row r="19" ht="12.75" customHeight="1">
      <c r="A19" s="25" t="s">
        <v>35</v>
      </c>
      <c r="B19" s="28">
        <v>2603776.0</v>
      </c>
      <c r="C19" s="26">
        <f t="shared" si="1"/>
        <v>10671.21311</v>
      </c>
      <c r="D19" s="28">
        <v>2867510.0</v>
      </c>
      <c r="E19" s="26">
        <f t="shared" si="2"/>
        <v>11800.45267</v>
      </c>
      <c r="F19" s="27">
        <f t="shared" si="3"/>
        <v>0.1058211047</v>
      </c>
      <c r="G19" s="28">
        <v>2671600.0</v>
      </c>
      <c r="H19" s="26">
        <f t="shared" si="4"/>
        <v>10994.23868</v>
      </c>
      <c r="I19" s="27">
        <f t="shared" si="5"/>
        <v>0.07333058841</v>
      </c>
    </row>
    <row r="20" ht="12.75" customHeight="1">
      <c r="A20" s="25" t="s">
        <v>36</v>
      </c>
      <c r="B20" s="28">
        <v>3342850.0</v>
      </c>
      <c r="C20" s="26">
        <f t="shared" si="1"/>
        <v>13700.20492</v>
      </c>
      <c r="D20" s="28">
        <v>3479229.0</v>
      </c>
      <c r="E20" s="26">
        <f t="shared" si="2"/>
        <v>14317.81481</v>
      </c>
      <c r="F20" s="27">
        <f t="shared" si="3"/>
        <v>0.04508034007</v>
      </c>
      <c r="G20" s="28">
        <v>3467887.0</v>
      </c>
      <c r="H20" s="26">
        <f t="shared" si="4"/>
        <v>14271.13992</v>
      </c>
      <c r="I20" s="27">
        <f t="shared" si="5"/>
        <v>0.003270579462</v>
      </c>
    </row>
    <row r="21" ht="12.75" customHeight="1">
      <c r="A21" s="25" t="s">
        <v>37</v>
      </c>
      <c r="B21" s="28">
        <v>7895262.0</v>
      </c>
      <c r="C21" s="26">
        <f t="shared" si="1"/>
        <v>32357.63115</v>
      </c>
      <c r="D21" s="28">
        <v>8378890.0</v>
      </c>
      <c r="E21" s="26">
        <f t="shared" si="2"/>
        <v>34481.02881</v>
      </c>
      <c r="F21" s="27">
        <f t="shared" si="3"/>
        <v>0.06562277842</v>
      </c>
      <c r="G21" s="28">
        <v>8382063.0</v>
      </c>
      <c r="H21" s="26">
        <f t="shared" si="4"/>
        <v>34494.08642</v>
      </c>
      <c r="I21" s="27">
        <f t="shared" si="5"/>
        <v>-0.0003785464271</v>
      </c>
    </row>
    <row r="22" ht="12.75" customHeight="1">
      <c r="A22" s="25" t="s">
        <v>38</v>
      </c>
      <c r="B22" s="28">
        <v>374543.0</v>
      </c>
      <c r="C22" s="26">
        <f t="shared" si="1"/>
        <v>1535.012295</v>
      </c>
      <c r="D22" s="28">
        <v>408089.0</v>
      </c>
      <c r="E22" s="26">
        <f t="shared" si="2"/>
        <v>1679.378601</v>
      </c>
      <c r="F22" s="27">
        <f t="shared" si="3"/>
        <v>0.09404895726</v>
      </c>
      <c r="G22" s="28">
        <v>376086.0</v>
      </c>
      <c r="H22" s="26">
        <f t="shared" si="4"/>
        <v>1547.679012</v>
      </c>
      <c r="I22" s="27">
        <f t="shared" si="5"/>
        <v>0.08509489851</v>
      </c>
    </row>
    <row r="23" ht="12.75" customHeight="1">
      <c r="A23" s="25" t="s">
        <v>39</v>
      </c>
      <c r="B23" s="28">
        <v>298960.0</v>
      </c>
      <c r="C23" s="26">
        <f t="shared" si="1"/>
        <v>1225.245902</v>
      </c>
      <c r="D23" s="28">
        <v>324636.0</v>
      </c>
      <c r="E23" s="26">
        <f t="shared" si="2"/>
        <v>1335.950617</v>
      </c>
      <c r="F23" s="27">
        <f t="shared" si="3"/>
        <v>0.09035305933</v>
      </c>
      <c r="G23" s="28">
        <v>314690.0</v>
      </c>
      <c r="H23" s="26">
        <f t="shared" si="4"/>
        <v>1295.020576</v>
      </c>
      <c r="I23" s="27">
        <f t="shared" si="5"/>
        <v>0.0316057072</v>
      </c>
    </row>
    <row r="24" ht="12.75" customHeight="1">
      <c r="A24" s="25" t="s">
        <v>40</v>
      </c>
      <c r="B24" s="28">
        <v>732418.0</v>
      </c>
      <c r="C24" s="26">
        <f t="shared" si="1"/>
        <v>3001.713115</v>
      </c>
      <c r="D24" s="28">
        <v>851328.0</v>
      </c>
      <c r="E24" s="26">
        <f t="shared" si="2"/>
        <v>3503.407407</v>
      </c>
      <c r="F24" s="27">
        <f t="shared" si="3"/>
        <v>0.1671359898</v>
      </c>
      <c r="G24" s="28">
        <v>769420.0</v>
      </c>
      <c r="H24" s="26">
        <f t="shared" si="4"/>
        <v>3166.337449</v>
      </c>
      <c r="I24" s="27">
        <f t="shared" si="5"/>
        <v>0.1064542123</v>
      </c>
    </row>
    <row r="25" ht="12.75" customHeight="1">
      <c r="A25" s="25" t="s">
        <v>41</v>
      </c>
      <c r="B25" s="28">
        <v>2000207.0</v>
      </c>
      <c r="C25" s="26">
        <f t="shared" si="1"/>
        <v>8197.569672</v>
      </c>
      <c r="D25" s="28">
        <v>1936793.0</v>
      </c>
      <c r="E25" s="26">
        <f t="shared" si="2"/>
        <v>7970.341564</v>
      </c>
      <c r="F25" s="27">
        <f t="shared" si="3"/>
        <v>-0.02771896031</v>
      </c>
      <c r="G25" s="28">
        <v>2062690.0</v>
      </c>
      <c r="H25" s="26">
        <f t="shared" si="4"/>
        <v>8488.436214</v>
      </c>
      <c r="I25" s="27">
        <f t="shared" si="5"/>
        <v>-0.06103534705</v>
      </c>
    </row>
    <row r="26" ht="12.75" customHeight="1">
      <c r="A26" s="25" t="s">
        <v>42</v>
      </c>
      <c r="B26" s="28">
        <v>1637110.0</v>
      </c>
      <c r="C26" s="26">
        <f t="shared" si="1"/>
        <v>6709.467213</v>
      </c>
      <c r="D26" s="28">
        <v>1650621.0</v>
      </c>
      <c r="E26" s="26">
        <f t="shared" si="2"/>
        <v>6792.679012</v>
      </c>
      <c r="F26" s="27">
        <f t="shared" si="3"/>
        <v>0.01240214708</v>
      </c>
      <c r="G26" s="28">
        <v>1658480.0</v>
      </c>
      <c r="H26" s="26">
        <f t="shared" si="4"/>
        <v>6825.020576</v>
      </c>
      <c r="I26" s="27">
        <f t="shared" si="5"/>
        <v>-0.004738676378</v>
      </c>
    </row>
    <row r="27" ht="12.75" customHeight="1">
      <c r="A27" s="25" t="s">
        <v>43</v>
      </c>
      <c r="B27" s="28">
        <v>2540210.0</v>
      </c>
      <c r="C27" s="26">
        <f t="shared" si="1"/>
        <v>10410.69672</v>
      </c>
      <c r="D27" s="28">
        <v>2615001.0</v>
      </c>
      <c r="E27" s="26">
        <f t="shared" si="2"/>
        <v>10761.32099</v>
      </c>
      <c r="F27" s="27">
        <f t="shared" si="3"/>
        <v>0.03367923163</v>
      </c>
      <c r="G27" s="28">
        <v>2699960.0</v>
      </c>
      <c r="H27" s="26">
        <f t="shared" si="4"/>
        <v>11110.9465</v>
      </c>
      <c r="I27" s="27">
        <f t="shared" si="5"/>
        <v>-0.03146676247</v>
      </c>
    </row>
    <row r="28" ht="12.75" customHeight="1">
      <c r="A28" s="25" t="s">
        <v>44</v>
      </c>
      <c r="B28" s="28">
        <v>2980368.0</v>
      </c>
      <c r="C28" s="26">
        <f t="shared" si="1"/>
        <v>12214.62295</v>
      </c>
      <c r="D28" s="28">
        <v>3226666.0</v>
      </c>
      <c r="E28" s="26">
        <f t="shared" si="2"/>
        <v>13278.46091</v>
      </c>
      <c r="F28" s="27">
        <f t="shared" si="3"/>
        <v>0.08709543952</v>
      </c>
      <c r="G28" s="28">
        <v>3109829.0</v>
      </c>
      <c r="H28" s="26">
        <f t="shared" si="4"/>
        <v>12797.65021</v>
      </c>
      <c r="I28" s="27">
        <f t="shared" si="5"/>
        <v>0.03757023296</v>
      </c>
    </row>
    <row r="29" ht="12.75" customHeight="1">
      <c r="A29" s="25" t="s">
        <v>45</v>
      </c>
      <c r="B29" s="28">
        <v>4252526.0</v>
      </c>
      <c r="C29" s="26">
        <f t="shared" si="1"/>
        <v>17428.38525</v>
      </c>
      <c r="D29" s="28">
        <v>4530807.0</v>
      </c>
      <c r="E29" s="26">
        <f t="shared" si="2"/>
        <v>18645.2963</v>
      </c>
      <c r="F29" s="27">
        <f t="shared" si="3"/>
        <v>0.06982351108</v>
      </c>
      <c r="G29" s="28">
        <v>4523702.0</v>
      </c>
      <c r="H29" s="26">
        <f t="shared" si="4"/>
        <v>18616.05761</v>
      </c>
      <c r="I29" s="27">
        <f t="shared" si="5"/>
        <v>0.001570616278</v>
      </c>
    </row>
    <row r="30" ht="12.75" customHeight="1">
      <c r="A30" s="25" t="s">
        <v>46</v>
      </c>
      <c r="B30" s="28">
        <v>825142.0</v>
      </c>
      <c r="C30" s="26">
        <f t="shared" si="1"/>
        <v>3381.729508</v>
      </c>
      <c r="D30" s="28">
        <v>788945.0</v>
      </c>
      <c r="E30" s="26">
        <f t="shared" si="2"/>
        <v>3246.687243</v>
      </c>
      <c r="F30" s="27">
        <f t="shared" si="3"/>
        <v>-0.03993289974</v>
      </c>
      <c r="G30" s="28">
        <v>857199.0</v>
      </c>
      <c r="H30" s="26">
        <f t="shared" si="4"/>
        <v>3527.567901</v>
      </c>
      <c r="I30" s="27">
        <f t="shared" si="5"/>
        <v>-0.07962445127</v>
      </c>
    </row>
    <row r="31" ht="12.75" customHeight="1">
      <c r="A31" s="25" t="s">
        <v>47</v>
      </c>
      <c r="B31" s="28">
        <v>473776.0</v>
      </c>
      <c r="C31" s="26">
        <f t="shared" si="1"/>
        <v>1941.704918</v>
      </c>
      <c r="D31" s="28">
        <v>528905.0</v>
      </c>
      <c r="E31" s="26">
        <f t="shared" si="2"/>
        <v>2176.563786</v>
      </c>
      <c r="F31" s="27">
        <f t="shared" si="3"/>
        <v>0.1209549741</v>
      </c>
      <c r="G31" s="28">
        <v>490661.0</v>
      </c>
      <c r="H31" s="26">
        <f t="shared" si="4"/>
        <v>2019.18107</v>
      </c>
      <c r="I31" s="27">
        <f t="shared" si="5"/>
        <v>0.07794383495</v>
      </c>
    </row>
    <row r="32" ht="12.75" customHeight="1">
      <c r="A32" s="25" t="s">
        <v>48</v>
      </c>
      <c r="B32" s="28">
        <v>1381499.0</v>
      </c>
      <c r="C32" s="26">
        <f t="shared" si="1"/>
        <v>5661.881148</v>
      </c>
      <c r="D32" s="28">
        <v>1526800.0</v>
      </c>
      <c r="E32" s="26">
        <f t="shared" si="2"/>
        <v>6283.127572</v>
      </c>
      <c r="F32" s="27">
        <f t="shared" si="3"/>
        <v>0.1097243846</v>
      </c>
      <c r="G32" s="28">
        <v>1436336.0</v>
      </c>
      <c r="H32" s="26">
        <f t="shared" si="4"/>
        <v>5910.847737</v>
      </c>
      <c r="I32" s="27">
        <f t="shared" si="5"/>
        <v>0.06298247764</v>
      </c>
    </row>
    <row r="33" ht="12.75" customHeight="1">
      <c r="A33" s="25" t="s">
        <v>49</v>
      </c>
      <c r="B33" s="28">
        <v>8905795.0</v>
      </c>
      <c r="C33" s="26">
        <f t="shared" si="1"/>
        <v>36499.15984</v>
      </c>
      <c r="D33" s="28">
        <v>9439573.0</v>
      </c>
      <c r="E33" s="26">
        <f t="shared" si="2"/>
        <v>38845.97942</v>
      </c>
      <c r="F33" s="27">
        <f t="shared" si="3"/>
        <v>0.06429790708</v>
      </c>
      <c r="G33" s="28">
        <v>9053771.0</v>
      </c>
      <c r="H33" s="26">
        <f t="shared" si="4"/>
        <v>37258.31687</v>
      </c>
      <c r="I33" s="27">
        <f t="shared" si="5"/>
        <v>0.04261229934</v>
      </c>
    </row>
    <row r="34" ht="12.75" customHeight="1">
      <c r="A34" s="25" t="s">
        <v>50</v>
      </c>
      <c r="B34" s="28">
        <v>1911199.0</v>
      </c>
      <c r="C34" s="26">
        <f t="shared" si="1"/>
        <v>7832.782787</v>
      </c>
      <c r="D34" s="28">
        <v>1905138.0</v>
      </c>
      <c r="E34" s="26">
        <f t="shared" si="2"/>
        <v>7840.074074</v>
      </c>
      <c r="F34" s="27">
        <f t="shared" si="3"/>
        <v>0.0009308680436</v>
      </c>
      <c r="G34" s="28">
        <v>2025242.0</v>
      </c>
      <c r="H34" s="26">
        <f t="shared" si="4"/>
        <v>8334.329218</v>
      </c>
      <c r="I34" s="27">
        <f t="shared" si="5"/>
        <v>-0.05930353015</v>
      </c>
    </row>
    <row r="35" ht="12.75" customHeight="1">
      <c r="A35" s="25" t="s">
        <v>51</v>
      </c>
      <c r="B35" s="28">
        <v>1230920.0</v>
      </c>
      <c r="C35" s="26">
        <f t="shared" si="1"/>
        <v>5044.754098</v>
      </c>
      <c r="D35" s="28">
        <v>1179785.0</v>
      </c>
      <c r="E35" s="26">
        <f t="shared" si="2"/>
        <v>4855.082305</v>
      </c>
      <c r="F35" s="27">
        <f t="shared" si="3"/>
        <v>-0.03759782739</v>
      </c>
      <c r="G35" s="28">
        <v>1295334.0</v>
      </c>
      <c r="H35" s="26">
        <f t="shared" si="4"/>
        <v>5330.592593</v>
      </c>
      <c r="I35" s="27">
        <f t="shared" si="5"/>
        <v>-0.08920401997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/>
    </row>
    <row r="4" ht="12.0" customHeight="1">
      <c r="A4" s="32"/>
      <c r="B4" s="33"/>
      <c r="C4" s="34"/>
      <c r="D4" s="35"/>
    </row>
    <row r="5" ht="15.75" customHeight="1">
      <c r="A5" s="36"/>
      <c r="B5" s="37"/>
      <c r="C5" s="38"/>
      <c r="D5" s="39"/>
    </row>
  </sheetData>
  <drawing r:id="rId1"/>
</worksheet>
</file>