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<sst xmlns="http://schemas.openxmlformats.org/spreadsheetml/2006/main" count="168" uniqueCount="127">
  <si>
    <t>Data source</t>
  </si>
  <si>
    <t>EUROCONTROL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</si>
  <si>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</si>
  <si>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</si>
  <si>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</si>
  <si>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</si>
  <si>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</si>
  <si>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</si>
  <si>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</si>
  <si>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>TAXI ADDITIONAL TIME</t>
  </si>
  <si>
    <t xml:space="preserve"> </t>
  </si>
  <si>
    <t xml:space="preserve">   </t>
  </si>
  <si>
    <t>Period: JAN-NOV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</si>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</sst>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7" t="s">
        <v>4</v>
      </c>
      <c r="J1" s="7" t="s">
        <v>4</v>
      </c>
      <c r="K1" s="6"/>
    </row>
    <row r="2" ht="12.75" customHeight="1">
      <c r="A2" s="8" t="s">
        <v>5</v>
      </c>
      <c r="B2" s="9">
        <v>46041.0</v>
      </c>
      <c r="C2" s="10" t="s">
        <v>6</v>
      </c>
      <c r="D2" s="11">
        <v>45991.0</v>
      </c>
      <c r="E2" s="8" t="s">
        <v>7</v>
      </c>
      <c r="F2" s="12" t="s">
        <v>8</v>
      </c>
      <c r="G2" s="13"/>
      <c r="H2" s="6"/>
      <c r="I2" s="7" t="s">
        <v>4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4</v>
      </c>
      <c r="G3" s="17" t="s">
        <v>4</v>
      </c>
      <c r="H3" s="17"/>
      <c r="I3" s="17" t="s">
        <v>11</v>
      </c>
      <c r="J3" s="17" t="s">
        <v>4</v>
      </c>
      <c r="K3" s="17"/>
    </row>
    <row r="4" ht="12.75" customHeight="1">
      <c r="A4" s="18" t="s">
        <v>12</v>
      </c>
      <c r="B4" s="19"/>
      <c r="C4" s="19"/>
      <c r="D4" s="20"/>
      <c r="E4" s="20" t="s">
        <v>10</v>
      </c>
      <c r="F4" s="21"/>
      <c r="G4" s="22" t="s">
        <v>4</v>
      </c>
      <c r="H4" s="21"/>
      <c r="I4" s="21"/>
      <c r="J4" s="21"/>
      <c r="K4" s="21"/>
    </row>
    <row r="5" ht="12.75" customHeight="1">
      <c r="A5" s="23" t="s">
        <v>13</v>
      </c>
      <c r="B5" s="24" t="s">
        <v>14</v>
      </c>
      <c r="C5" s="24" t="s">
        <v>15</v>
      </c>
      <c r="D5" s="24" t="s">
        <v>16</v>
      </c>
      <c r="E5" s="24" t="s">
        <v>17</v>
      </c>
      <c r="F5" s="24" t="s">
        <v>18</v>
      </c>
      <c r="G5" s="24" t="s">
        <v>19</v>
      </c>
      <c r="H5" s="24" t="s">
        <v>20</v>
      </c>
      <c r="I5" s="24" t="s">
        <v>21</v>
      </c>
      <c r="J5" s="24" t="s">
        <v>22</v>
      </c>
      <c r="K5" s="24" t="s">
        <v>23</v>
      </c>
    </row>
    <row r="6" ht="12.75" customHeight="1">
      <c r="A6" s="25" t="s">
        <v>24</v>
      </c>
      <c r="B6" s="25" t="s">
        <v>25</v>
      </c>
      <c r="C6" s="26" t="s">
        <v>26</v>
      </c>
      <c r="D6" s="27">
        <v>83556.0</v>
      </c>
      <c r="E6" s="28">
        <f t="shared" ref="E6:E16" si="1">F6/D6</f>
        <v>3.011252334</v>
      </c>
      <c r="F6" s="27">
        <v>251608.2</v>
      </c>
      <c r="G6" s="29">
        <v>8.64</v>
      </c>
      <c r="H6" s="30">
        <v>85495.0</v>
      </c>
      <c r="I6" s="31">
        <f t="shared" ref="I6:I16" si="2">J6/H6</f>
        <v>1.277143693</v>
      </c>
      <c r="J6" s="30">
        <v>109189.4</v>
      </c>
      <c r="K6" s="32">
        <v>4.13</v>
      </c>
    </row>
    <row r="7" ht="12.75" customHeight="1">
      <c r="A7" s="25" t="s">
        <v>27</v>
      </c>
      <c r="B7" s="25" t="s">
        <v>28</v>
      </c>
      <c r="C7" s="33" t="s">
        <v>29</v>
      </c>
      <c r="D7" s="27">
        <v>82177.0</v>
      </c>
      <c r="E7" s="28">
        <f t="shared" si="1"/>
        <v>2.539449988</v>
      </c>
      <c r="F7" s="27">
        <v>208684.3817</v>
      </c>
      <c r="G7" s="29">
        <v>7.94</v>
      </c>
      <c r="H7" s="30">
        <v>84404.0</v>
      </c>
      <c r="I7" s="31">
        <f t="shared" si="2"/>
        <v>1.336285741</v>
      </c>
      <c r="J7" s="30">
        <v>112787.8617</v>
      </c>
      <c r="K7" s="32">
        <v>4.11</v>
      </c>
    </row>
    <row r="8" ht="12.75" customHeight="1">
      <c r="A8" s="25" t="s">
        <v>30</v>
      </c>
      <c r="B8" s="25" t="s">
        <v>31</v>
      </c>
      <c r="C8" s="26" t="s">
        <v>29</v>
      </c>
      <c r="D8" s="27">
        <v>205265.0</v>
      </c>
      <c r="E8" s="28">
        <f t="shared" si="1"/>
        <v>3.529915532</v>
      </c>
      <c r="F8" s="27">
        <v>724568.1117</v>
      </c>
      <c r="G8" s="29">
        <v>10.67</v>
      </c>
      <c r="H8" s="30">
        <v>201840.0</v>
      </c>
      <c r="I8" s="31">
        <f t="shared" si="2"/>
        <v>2.408549553</v>
      </c>
      <c r="J8" s="30">
        <v>486141.6417</v>
      </c>
      <c r="K8" s="32">
        <v>7.25</v>
      </c>
    </row>
    <row r="9" ht="12.75" customHeight="1">
      <c r="A9" s="25" t="s">
        <v>32</v>
      </c>
      <c r="B9" s="25" t="s">
        <v>33</v>
      </c>
      <c r="C9" s="26" t="s">
        <v>29</v>
      </c>
      <c r="D9" s="27">
        <v>53177.0</v>
      </c>
      <c r="E9" s="28">
        <f t="shared" si="1"/>
        <v>2.749329817</v>
      </c>
      <c r="F9" s="27">
        <v>146201.1117</v>
      </c>
      <c r="G9" s="28">
        <v>6.76</v>
      </c>
      <c r="H9" s="30">
        <v>52979.0</v>
      </c>
      <c r="I9" s="31">
        <f t="shared" si="2"/>
        <v>1.23561452</v>
      </c>
      <c r="J9" s="30">
        <v>65461.62167</v>
      </c>
      <c r="K9" s="32">
        <v>3.69</v>
      </c>
    </row>
    <row r="10" ht="12.75" customHeight="1">
      <c r="A10" s="25" t="s">
        <v>34</v>
      </c>
      <c r="B10" s="25" t="s">
        <v>35</v>
      </c>
      <c r="C10" s="26" t="s">
        <v>29</v>
      </c>
      <c r="D10" s="27">
        <v>44140.0</v>
      </c>
      <c r="E10" s="28">
        <f t="shared" si="1"/>
        <v>2.861950838</v>
      </c>
      <c r="F10" s="27">
        <v>126326.51</v>
      </c>
      <c r="G10" s="29">
        <v>9.67</v>
      </c>
      <c r="H10" s="30">
        <v>44013.0</v>
      </c>
      <c r="I10" s="31">
        <f t="shared" si="2"/>
        <v>1.680652686</v>
      </c>
      <c r="J10" s="30">
        <v>73970.56667</v>
      </c>
      <c r="K10" s="32">
        <v>4.54</v>
      </c>
    </row>
    <row r="11" ht="12.75" customHeight="1">
      <c r="A11" s="25" t="s">
        <v>36</v>
      </c>
      <c r="B11" s="25" t="s">
        <v>37</v>
      </c>
      <c r="C11" s="26" t="s">
        <v>29</v>
      </c>
      <c r="D11" s="27">
        <v>68950.0</v>
      </c>
      <c r="E11" s="28">
        <f t="shared" si="1"/>
        <v>2.637737806</v>
      </c>
      <c r="F11" s="27">
        <v>181872.0217</v>
      </c>
      <c r="G11" s="29">
        <v>8.82</v>
      </c>
      <c r="H11" s="30">
        <v>65923.0</v>
      </c>
      <c r="I11" s="31">
        <f t="shared" si="2"/>
        <v>0.9639333768</v>
      </c>
      <c r="J11" s="30">
        <v>63545.38</v>
      </c>
      <c r="K11" s="32">
        <v>3.52</v>
      </c>
    </row>
    <row r="12" ht="12.75" customHeight="1">
      <c r="A12" s="25" t="s">
        <v>38</v>
      </c>
      <c r="B12" s="25" t="s">
        <v>39</v>
      </c>
      <c r="C12" s="26" t="s">
        <v>29</v>
      </c>
      <c r="D12" s="27">
        <v>144022.0</v>
      </c>
      <c r="E12" s="28">
        <f t="shared" si="1"/>
        <v>3.385713294</v>
      </c>
      <c r="F12" s="27">
        <v>487617.2</v>
      </c>
      <c r="G12" s="29">
        <v>9.53</v>
      </c>
      <c r="H12" s="30">
        <v>151902.0</v>
      </c>
      <c r="I12" s="31">
        <f t="shared" si="2"/>
        <v>1.672055667</v>
      </c>
      <c r="J12" s="30">
        <v>253988.6</v>
      </c>
      <c r="K12" s="32">
        <v>4.42</v>
      </c>
    </row>
    <row r="13" ht="12.75" customHeight="1">
      <c r="A13" s="25" t="s">
        <v>40</v>
      </c>
      <c r="B13" s="25" t="s">
        <v>41</v>
      </c>
      <c r="C13" s="26" t="s">
        <v>42</v>
      </c>
      <c r="D13" s="27">
        <v>66438.0</v>
      </c>
      <c r="E13" s="28">
        <f t="shared" si="1"/>
        <v>3.139389532</v>
      </c>
      <c r="F13" s="27">
        <v>208574.7617</v>
      </c>
      <c r="G13" s="29">
        <v>5.99</v>
      </c>
      <c r="H13" s="30">
        <v>63394.0</v>
      </c>
      <c r="I13" s="31">
        <f t="shared" si="2"/>
        <v>1.060654268</v>
      </c>
      <c r="J13" s="30">
        <v>67239.11667</v>
      </c>
      <c r="K13" s="32">
        <v>4.16</v>
      </c>
    </row>
    <row r="14" ht="12.75" customHeight="1">
      <c r="A14" s="25" t="s">
        <v>43</v>
      </c>
      <c r="B14" s="25" t="s">
        <v>44</v>
      </c>
      <c r="C14" s="26" t="s">
        <v>45</v>
      </c>
      <c r="D14" s="27">
        <v>211701.0</v>
      </c>
      <c r="E14" s="28">
        <f t="shared" si="1"/>
        <v>3.24961496</v>
      </c>
      <c r="F14" s="27">
        <v>687946.7367</v>
      </c>
      <c r="G14" s="29">
        <v>9.77</v>
      </c>
      <c r="H14" s="30">
        <v>204754.0</v>
      </c>
      <c r="I14" s="31">
        <f t="shared" si="2"/>
        <v>1.846831954</v>
      </c>
      <c r="J14" s="30">
        <v>378146.23</v>
      </c>
      <c r="K14" s="32">
        <v>6.56</v>
      </c>
    </row>
    <row r="15" ht="12.75" customHeight="1">
      <c r="A15" s="26" t="s">
        <v>46</v>
      </c>
      <c r="B15" s="26" t="s">
        <v>47</v>
      </c>
      <c r="C15" s="26" t="s">
        <v>48</v>
      </c>
      <c r="D15" s="27">
        <v>111635.0</v>
      </c>
      <c r="E15" s="28">
        <f t="shared" si="1"/>
        <v>4.203644511</v>
      </c>
      <c r="F15" s="27">
        <v>469273.855</v>
      </c>
      <c r="G15" s="29">
        <v>10.27</v>
      </c>
      <c r="H15" s="30">
        <v>110102.0</v>
      </c>
      <c r="I15" s="31">
        <f t="shared" si="2"/>
        <v>2.070398176</v>
      </c>
      <c r="J15" s="30">
        <v>227954.98</v>
      </c>
      <c r="K15" s="32">
        <v>5.07</v>
      </c>
    </row>
    <row r="16" ht="12.75" customHeight="1">
      <c r="A16" s="25" t="s">
        <v>49</v>
      </c>
      <c r="B16" s="25" t="s">
        <v>50</v>
      </c>
      <c r="C16" s="26" t="s">
        <v>51</v>
      </c>
      <c r="D16" s="27">
        <v>107601.0</v>
      </c>
      <c r="E16" s="28">
        <f t="shared" si="1"/>
        <v>3.369175921</v>
      </c>
      <c r="F16" s="27">
        <v>362526.6983</v>
      </c>
      <c r="G16" s="28">
        <v>8.95</v>
      </c>
      <c r="H16" s="30">
        <v>110131.0</v>
      </c>
      <c r="I16" s="31">
        <f t="shared" si="2"/>
        <v>1.468858042</v>
      </c>
      <c r="J16" s="30">
        <v>161766.805</v>
      </c>
      <c r="K16" s="32">
        <v>4.31</v>
      </c>
    </row>
    <row r="17" ht="12.75" customHeight="1">
      <c r="A17" s="25" t="s">
        <v>52</v>
      </c>
      <c r="B17" s="25" t="s">
        <v>53</v>
      </c>
      <c r="C17" s="26" t="s">
        <v>54</v>
      </c>
      <c r="D17" s="29" t="s">
        <v>55</v>
      </c>
      <c r="E17" s="29" t="s">
        <v>55</v>
      </c>
      <c r="F17" s="29" t="s">
        <v>55</v>
      </c>
      <c r="G17" s="29" t="s">
        <v>55</v>
      </c>
      <c r="H17" s="32" t="s">
        <v>55</v>
      </c>
      <c r="I17" s="32" t="s">
        <v>55</v>
      </c>
      <c r="J17" s="32" t="s">
        <v>55</v>
      </c>
      <c r="K17" s="32" t="s">
        <v>55</v>
      </c>
    </row>
    <row r="18" ht="12.75" customHeight="1">
      <c r="A18" s="25" t="s">
        <v>56</v>
      </c>
      <c r="B18" s="25" t="s">
        <v>57</v>
      </c>
      <c r="C18" s="26" t="s">
        <v>54</v>
      </c>
      <c r="D18" s="27">
        <v>95772.0</v>
      </c>
      <c r="E18" s="28">
        <f t="shared" ref="E18:E26" si="3">F18/D18</f>
        <v>4.280582007</v>
      </c>
      <c r="F18" s="27">
        <v>409959.9</v>
      </c>
      <c r="G18" s="29">
        <v>8.44</v>
      </c>
      <c r="H18" s="30">
        <v>96156.0</v>
      </c>
      <c r="I18" s="31">
        <f t="shared" ref="I18:I26" si="4">J18/H18</f>
        <v>1.149946961</v>
      </c>
      <c r="J18" s="30">
        <v>110574.3</v>
      </c>
      <c r="K18" s="32">
        <v>2.67</v>
      </c>
    </row>
    <row r="19" ht="12.75" customHeight="1">
      <c r="A19" s="25" t="s">
        <v>58</v>
      </c>
      <c r="B19" s="25" t="s">
        <v>59</v>
      </c>
      <c r="C19" s="26" t="s">
        <v>60</v>
      </c>
      <c r="D19" s="27">
        <v>81040.0</v>
      </c>
      <c r="E19" s="28">
        <f t="shared" si="3"/>
        <v>3.152538355</v>
      </c>
      <c r="F19" s="27">
        <v>255481.7083</v>
      </c>
      <c r="G19" s="29">
        <v>7.2</v>
      </c>
      <c r="H19" s="30">
        <v>84596.0</v>
      </c>
      <c r="I19" s="31">
        <f t="shared" si="4"/>
        <v>1.340158695</v>
      </c>
      <c r="J19" s="30">
        <v>113372.065</v>
      </c>
      <c r="K19" s="32">
        <v>2.93</v>
      </c>
    </row>
    <row r="20" ht="12.75" customHeight="1">
      <c r="A20" s="25" t="s">
        <v>61</v>
      </c>
      <c r="B20" s="25" t="s">
        <v>62</v>
      </c>
      <c r="C20" s="26" t="s">
        <v>63</v>
      </c>
      <c r="D20" s="27">
        <v>87651.0</v>
      </c>
      <c r="E20" s="28">
        <f t="shared" si="3"/>
        <v>2.635786243</v>
      </c>
      <c r="F20" s="27">
        <v>231029.3</v>
      </c>
      <c r="G20" s="29">
        <v>7.58</v>
      </c>
      <c r="H20" s="30">
        <v>87888.0</v>
      </c>
      <c r="I20" s="31">
        <f t="shared" si="4"/>
        <v>1.259275441</v>
      </c>
      <c r="J20" s="30">
        <v>110675.2</v>
      </c>
      <c r="K20" s="32">
        <v>4.34</v>
      </c>
    </row>
    <row r="21" ht="12.75" customHeight="1">
      <c r="A21" s="25" t="s">
        <v>64</v>
      </c>
      <c r="B21" s="25" t="s">
        <v>65</v>
      </c>
      <c r="C21" s="26" t="s">
        <v>66</v>
      </c>
      <c r="D21" s="27">
        <v>59179.0</v>
      </c>
      <c r="E21" s="28">
        <f t="shared" si="3"/>
        <v>3.006892112</v>
      </c>
      <c r="F21" s="27">
        <v>177944.8683</v>
      </c>
      <c r="G21" s="29">
        <v>7.38</v>
      </c>
      <c r="H21" s="30">
        <v>60368.0</v>
      </c>
      <c r="I21" s="31">
        <f t="shared" si="4"/>
        <v>1.11633139</v>
      </c>
      <c r="J21" s="30">
        <v>67390.69333</v>
      </c>
      <c r="K21" s="32">
        <v>1.55</v>
      </c>
    </row>
    <row r="22" ht="12.75" customHeight="1">
      <c r="A22" s="25" t="s">
        <v>67</v>
      </c>
      <c r="B22" s="25" t="s">
        <v>68</v>
      </c>
      <c r="C22" s="26" t="s">
        <v>66</v>
      </c>
      <c r="D22" s="27">
        <v>56579.0</v>
      </c>
      <c r="E22" s="28">
        <f t="shared" si="3"/>
        <v>3.272946911</v>
      </c>
      <c r="F22" s="27">
        <v>185180.0633</v>
      </c>
      <c r="G22" s="29">
        <v>7.89</v>
      </c>
      <c r="H22" s="30">
        <v>56399.0</v>
      </c>
      <c r="I22" s="31">
        <f t="shared" si="4"/>
        <v>1.285112591</v>
      </c>
      <c r="J22" s="30">
        <v>72479.065</v>
      </c>
      <c r="K22" s="32">
        <v>2.53</v>
      </c>
    </row>
    <row r="23" ht="12.75" customHeight="1">
      <c r="A23" s="25" t="s">
        <v>69</v>
      </c>
      <c r="B23" s="25" t="s">
        <v>70</v>
      </c>
      <c r="C23" s="26" t="s">
        <v>66</v>
      </c>
      <c r="D23" s="27">
        <v>158615.0</v>
      </c>
      <c r="E23" s="28">
        <f t="shared" si="3"/>
        <v>3.84255288</v>
      </c>
      <c r="F23" s="27">
        <v>609486.525</v>
      </c>
      <c r="G23" s="28">
        <v>12.03</v>
      </c>
      <c r="H23" s="30">
        <v>151119.0</v>
      </c>
      <c r="I23" s="31">
        <f t="shared" si="4"/>
        <v>1.134951164</v>
      </c>
      <c r="J23" s="30">
        <v>171512.685</v>
      </c>
      <c r="K23" s="32">
        <v>2.68</v>
      </c>
    </row>
    <row r="24" ht="12.75" customHeight="1">
      <c r="A24" s="25" t="s">
        <v>71</v>
      </c>
      <c r="B24" s="25" t="s">
        <v>72</v>
      </c>
      <c r="C24" s="26" t="s">
        <v>66</v>
      </c>
      <c r="D24" s="27">
        <v>170262.0</v>
      </c>
      <c r="E24" s="28">
        <f t="shared" si="3"/>
        <v>3.666701319</v>
      </c>
      <c r="F24" s="27">
        <v>624299.9</v>
      </c>
      <c r="G24" s="29">
        <v>13.16</v>
      </c>
      <c r="H24" s="30">
        <v>171283.0</v>
      </c>
      <c r="I24" s="31">
        <f t="shared" si="4"/>
        <v>2.244925533</v>
      </c>
      <c r="J24" s="30">
        <v>384517.58</v>
      </c>
      <c r="K24" s="32">
        <v>6.4</v>
      </c>
    </row>
    <row r="25" ht="12.75" customHeight="1">
      <c r="A25" s="25" t="s">
        <v>73</v>
      </c>
      <c r="B25" s="25" t="s">
        <v>74</v>
      </c>
      <c r="C25" s="26" t="s">
        <v>66</v>
      </c>
      <c r="D25" s="27">
        <v>79121.0</v>
      </c>
      <c r="E25" s="28">
        <f t="shared" si="3"/>
        <v>3.479094383</v>
      </c>
      <c r="F25" s="27">
        <v>275269.4267</v>
      </c>
      <c r="G25" s="29">
        <v>8.87</v>
      </c>
      <c r="H25" s="30">
        <v>78874.0</v>
      </c>
      <c r="I25" s="31">
        <f t="shared" si="4"/>
        <v>1.482386316</v>
      </c>
      <c r="J25" s="30">
        <v>116921.7383</v>
      </c>
      <c r="K25" s="32">
        <v>3.19</v>
      </c>
    </row>
    <row r="26" ht="12.75" customHeight="1">
      <c r="A26" s="25" t="s">
        <v>75</v>
      </c>
      <c r="B26" s="25" t="s">
        <v>76</v>
      </c>
      <c r="C26" s="26" t="s">
        <v>66</v>
      </c>
      <c r="D26" s="27">
        <v>111255.0</v>
      </c>
      <c r="E26" s="28">
        <f t="shared" si="3"/>
        <v>3.726207197</v>
      </c>
      <c r="F26" s="27">
        <v>414559.1817</v>
      </c>
      <c r="G26" s="29">
        <v>9.18</v>
      </c>
      <c r="H26" s="30">
        <v>110301.0</v>
      </c>
      <c r="I26" s="31">
        <f t="shared" si="4"/>
        <v>1.298897442</v>
      </c>
      <c r="J26" s="30">
        <v>143269.6867</v>
      </c>
      <c r="K26" s="32">
        <v>2.65</v>
      </c>
    </row>
    <row r="27" ht="12.75" customHeight="1">
      <c r="A27" s="25" t="s">
        <v>77</v>
      </c>
      <c r="B27" s="25" t="s">
        <v>78</v>
      </c>
      <c r="C27" s="26" t="s">
        <v>79</v>
      </c>
      <c r="D27" s="29" t="s">
        <v>55</v>
      </c>
      <c r="E27" s="29" t="s">
        <v>55</v>
      </c>
      <c r="F27" s="29" t="s">
        <v>55</v>
      </c>
      <c r="G27" s="29" t="s">
        <v>55</v>
      </c>
      <c r="H27" s="32" t="s">
        <v>55</v>
      </c>
      <c r="I27" s="32" t="s">
        <v>55</v>
      </c>
      <c r="J27" s="32" t="s">
        <v>55</v>
      </c>
      <c r="K27" s="32" t="s">
        <v>55</v>
      </c>
    </row>
    <row r="28" ht="12.75" customHeight="1">
      <c r="A28" s="25" t="s">
        <v>80</v>
      </c>
      <c r="B28" s="25" t="s">
        <v>81</v>
      </c>
      <c r="C28" s="26" t="s">
        <v>79</v>
      </c>
      <c r="D28" s="27">
        <v>68743.0</v>
      </c>
      <c r="E28" s="28">
        <f t="shared" ref="E28:E43" si="5">F28/D28</f>
        <v>3.04324804</v>
      </c>
      <c r="F28" s="27">
        <v>209202.0</v>
      </c>
      <c r="G28" s="29">
        <v>8.02</v>
      </c>
      <c r="H28" s="30">
        <v>65256.0</v>
      </c>
      <c r="I28" s="31">
        <f t="shared" ref="I28:I43" si="6">J28/H28</f>
        <v>1.195451759</v>
      </c>
      <c r="J28" s="30">
        <v>78010.4</v>
      </c>
      <c r="K28" s="32">
        <v>2.94</v>
      </c>
    </row>
    <row r="29" ht="12.75" customHeight="1">
      <c r="A29" s="25" t="s">
        <v>82</v>
      </c>
      <c r="B29" s="25" t="s">
        <v>83</v>
      </c>
      <c r="C29" s="26" t="s">
        <v>79</v>
      </c>
      <c r="D29" s="27">
        <v>183132.0</v>
      </c>
      <c r="E29" s="28">
        <f t="shared" si="5"/>
        <v>4.348787032</v>
      </c>
      <c r="F29" s="27">
        <v>796402.0667</v>
      </c>
      <c r="G29" s="29">
        <v>11.78</v>
      </c>
      <c r="H29" s="30">
        <v>195687.0</v>
      </c>
      <c r="I29" s="31">
        <f t="shared" si="6"/>
        <v>2.281080399</v>
      </c>
      <c r="J29" s="30">
        <v>446377.78</v>
      </c>
      <c r="K29" s="32">
        <v>7.28</v>
      </c>
    </row>
    <row r="30" ht="12.75" customHeight="1">
      <c r="A30" s="25" t="s">
        <v>84</v>
      </c>
      <c r="B30" s="25" t="s">
        <v>85</v>
      </c>
      <c r="C30" s="26" t="s">
        <v>79</v>
      </c>
      <c r="D30" s="27">
        <v>95536.0</v>
      </c>
      <c r="E30" s="28">
        <f t="shared" si="5"/>
        <v>2.962105384</v>
      </c>
      <c r="F30" s="27">
        <v>282987.7</v>
      </c>
      <c r="G30" s="29">
        <v>8.19</v>
      </c>
      <c r="H30" s="30">
        <v>97746.0</v>
      </c>
      <c r="I30" s="31">
        <f t="shared" si="6"/>
        <v>1.5885315</v>
      </c>
      <c r="J30" s="30">
        <v>155272.6</v>
      </c>
      <c r="K30" s="32">
        <v>4.25</v>
      </c>
    </row>
    <row r="31" ht="12.75" customHeight="1">
      <c r="A31" s="25" t="s">
        <v>86</v>
      </c>
      <c r="B31" s="25" t="s">
        <v>87</v>
      </c>
      <c r="C31" s="26" t="s">
        <v>88</v>
      </c>
      <c r="D31" s="27">
        <v>124312.0</v>
      </c>
      <c r="E31" s="28">
        <f t="shared" si="5"/>
        <v>3.841362861</v>
      </c>
      <c r="F31" s="27">
        <v>477527.5</v>
      </c>
      <c r="G31" s="29">
        <v>8.14</v>
      </c>
      <c r="H31" s="30">
        <v>125547.0</v>
      </c>
      <c r="I31" s="31">
        <f t="shared" si="6"/>
        <v>2.10233777</v>
      </c>
      <c r="J31" s="30">
        <v>263942.2</v>
      </c>
      <c r="K31" s="32">
        <v>3.79</v>
      </c>
    </row>
    <row r="32" ht="12.75" customHeight="1">
      <c r="A32" s="25" t="s">
        <v>89</v>
      </c>
      <c r="B32" s="25" t="s">
        <v>90</v>
      </c>
      <c r="C32" s="26" t="s">
        <v>91</v>
      </c>
      <c r="D32" s="27">
        <v>58267.0</v>
      </c>
      <c r="E32" s="28">
        <f t="shared" si="5"/>
        <v>2.508351983</v>
      </c>
      <c r="F32" s="27">
        <v>146154.145</v>
      </c>
      <c r="G32" s="29">
        <v>8.52</v>
      </c>
      <c r="H32" s="30">
        <v>58146.0</v>
      </c>
      <c r="I32" s="31">
        <f t="shared" si="6"/>
        <v>1.299669166</v>
      </c>
      <c r="J32" s="30">
        <v>75570.56333</v>
      </c>
      <c r="K32" s="32">
        <v>3.71</v>
      </c>
    </row>
    <row r="33" ht="12.75" customHeight="1">
      <c r="A33" s="25" t="s">
        <v>92</v>
      </c>
      <c r="B33" s="25" t="s">
        <v>93</v>
      </c>
      <c r="C33" s="26" t="s">
        <v>94</v>
      </c>
      <c r="D33" s="27">
        <v>93882.0</v>
      </c>
      <c r="E33" s="28">
        <f t="shared" si="5"/>
        <v>4.394003767</v>
      </c>
      <c r="F33" s="27">
        <v>412517.8617</v>
      </c>
      <c r="G33" s="29">
        <v>11.48</v>
      </c>
      <c r="H33" s="30">
        <v>99997.0</v>
      </c>
      <c r="I33" s="31">
        <f t="shared" si="6"/>
        <v>1.938673293</v>
      </c>
      <c r="J33" s="30">
        <v>193861.5133</v>
      </c>
      <c r="K33" s="32">
        <v>4.62</v>
      </c>
    </row>
    <row r="34" ht="12.75" customHeight="1">
      <c r="A34" s="25" t="s">
        <v>95</v>
      </c>
      <c r="B34" s="25" t="s">
        <v>96</v>
      </c>
      <c r="C34" s="26" t="s">
        <v>94</v>
      </c>
      <c r="D34" s="27">
        <v>47218.0</v>
      </c>
      <c r="E34" s="28">
        <f t="shared" si="5"/>
        <v>3.366999873</v>
      </c>
      <c r="F34" s="27">
        <v>158983.0</v>
      </c>
      <c r="G34" s="29">
        <v>9.24</v>
      </c>
      <c r="H34" s="30">
        <v>47325.0</v>
      </c>
      <c r="I34" s="31">
        <f t="shared" si="6"/>
        <v>2.059896461</v>
      </c>
      <c r="J34" s="30">
        <v>97484.6</v>
      </c>
      <c r="K34" s="32">
        <v>3.21</v>
      </c>
    </row>
    <row r="35" ht="12.75" customHeight="1">
      <c r="A35" s="25" t="s">
        <v>97</v>
      </c>
      <c r="B35" s="25" t="s">
        <v>98</v>
      </c>
      <c r="C35" s="26" t="s">
        <v>94</v>
      </c>
      <c r="D35" s="27">
        <v>53167.0</v>
      </c>
      <c r="E35" s="28">
        <f t="shared" si="5"/>
        <v>4.625723037</v>
      </c>
      <c r="F35" s="27">
        <v>245935.8167</v>
      </c>
      <c r="G35" s="28">
        <v>9.13</v>
      </c>
      <c r="H35" s="30">
        <v>53872.0</v>
      </c>
      <c r="I35" s="31">
        <f t="shared" si="6"/>
        <v>1.741963048</v>
      </c>
      <c r="J35" s="30">
        <v>93843.03333</v>
      </c>
      <c r="K35" s="32">
        <v>3.05</v>
      </c>
    </row>
    <row r="36" ht="12.75" customHeight="1">
      <c r="A36" s="25" t="s">
        <v>99</v>
      </c>
      <c r="B36" s="25" t="s">
        <v>100</v>
      </c>
      <c r="C36" s="26" t="s">
        <v>94</v>
      </c>
      <c r="D36" s="27">
        <v>144086.0</v>
      </c>
      <c r="E36" s="28">
        <f t="shared" si="5"/>
        <v>6.822745444</v>
      </c>
      <c r="F36" s="27">
        <v>983062.1</v>
      </c>
      <c r="G36" s="29">
        <v>12.32</v>
      </c>
      <c r="H36" s="30">
        <v>143904.0</v>
      </c>
      <c r="I36" s="31">
        <f t="shared" si="6"/>
        <v>3.209921892</v>
      </c>
      <c r="J36" s="30">
        <v>461920.6</v>
      </c>
      <c r="K36" s="32">
        <v>7.42</v>
      </c>
    </row>
    <row r="37" ht="12.75" customHeight="1">
      <c r="A37" s="25" t="s">
        <v>101</v>
      </c>
      <c r="B37" s="25" t="s">
        <v>102</v>
      </c>
      <c r="C37" s="26" t="s">
        <v>103</v>
      </c>
      <c r="D37" s="27">
        <v>56521.0</v>
      </c>
      <c r="E37" s="28">
        <f t="shared" si="5"/>
        <v>2.970462306</v>
      </c>
      <c r="F37" s="27">
        <v>167893.5</v>
      </c>
      <c r="G37" s="29">
        <v>8.51</v>
      </c>
      <c r="H37" s="30">
        <v>60834.0</v>
      </c>
      <c r="I37" s="31">
        <f t="shared" si="6"/>
        <v>1.297937009</v>
      </c>
      <c r="J37" s="30">
        <v>78958.7</v>
      </c>
      <c r="K37" s="32">
        <v>3.92</v>
      </c>
    </row>
    <row r="38" ht="12.75" customHeight="1">
      <c r="A38" s="25" t="s">
        <v>104</v>
      </c>
      <c r="B38" s="25" t="s">
        <v>105</v>
      </c>
      <c r="C38" s="26" t="s">
        <v>106</v>
      </c>
      <c r="D38" s="27">
        <v>109450.0</v>
      </c>
      <c r="E38" s="28">
        <f t="shared" si="5"/>
        <v>2.568488808</v>
      </c>
      <c r="F38" s="27">
        <v>281121.1</v>
      </c>
      <c r="G38" s="29">
        <v>6.95</v>
      </c>
      <c r="H38" s="30">
        <v>114464.0</v>
      </c>
      <c r="I38" s="31">
        <f t="shared" si="6"/>
        <v>1.51951618</v>
      </c>
      <c r="J38" s="30">
        <v>173929.9</v>
      </c>
      <c r="K38" s="32">
        <v>4.33</v>
      </c>
    </row>
    <row r="39" ht="12.75" customHeight="1">
      <c r="A39" s="25" t="s">
        <v>107</v>
      </c>
      <c r="B39" s="25" t="s">
        <v>108</v>
      </c>
      <c r="C39" s="26" t="s">
        <v>109</v>
      </c>
      <c r="D39" s="27">
        <v>51656.0</v>
      </c>
      <c r="E39" s="28">
        <f t="shared" si="5"/>
        <v>3.46282113</v>
      </c>
      <c r="F39" s="27">
        <v>178875.4883</v>
      </c>
      <c r="G39" s="29">
        <v>7.24</v>
      </c>
      <c r="H39" s="30">
        <v>51856.0</v>
      </c>
      <c r="I39" s="31">
        <f t="shared" si="6"/>
        <v>1.632702323</v>
      </c>
      <c r="J39" s="30">
        <v>84665.41167</v>
      </c>
      <c r="K39" s="32">
        <v>4.06</v>
      </c>
    </row>
    <row r="40" ht="12.75" customHeight="1">
      <c r="A40" s="25" t="s">
        <v>110</v>
      </c>
      <c r="B40" s="25" t="s">
        <v>111</v>
      </c>
      <c r="C40" s="26" t="s">
        <v>109</v>
      </c>
      <c r="D40" s="27">
        <v>104864.0</v>
      </c>
      <c r="E40" s="28">
        <f t="shared" si="5"/>
        <v>4.597731061</v>
      </c>
      <c r="F40" s="27">
        <v>482136.47</v>
      </c>
      <c r="G40" s="29">
        <v>10.86</v>
      </c>
      <c r="H40" s="30">
        <v>105569.0</v>
      </c>
      <c r="I40" s="31">
        <f t="shared" si="6"/>
        <v>1.840848355</v>
      </c>
      <c r="J40" s="30">
        <v>194336.52</v>
      </c>
      <c r="K40" s="32">
        <v>4.37</v>
      </c>
    </row>
    <row r="41" ht="12.75" customHeight="1">
      <c r="A41" s="25" t="s">
        <v>112</v>
      </c>
      <c r="B41" s="25" t="s">
        <v>113</v>
      </c>
      <c r="C41" s="26" t="s">
        <v>114</v>
      </c>
      <c r="D41" s="27">
        <v>49890.0</v>
      </c>
      <c r="E41" s="28">
        <f t="shared" si="5"/>
        <v>4.039462818</v>
      </c>
      <c r="F41" s="27">
        <v>201528.8</v>
      </c>
      <c r="G41" s="29">
        <v>5.62</v>
      </c>
      <c r="H41" s="30">
        <v>51506.0</v>
      </c>
      <c r="I41" s="31">
        <f t="shared" si="6"/>
        <v>1.787269444</v>
      </c>
      <c r="J41" s="30">
        <v>92055.1</v>
      </c>
      <c r="K41" s="32">
        <v>4.61</v>
      </c>
    </row>
    <row r="42" ht="12.75" customHeight="1">
      <c r="A42" s="25" t="s">
        <v>115</v>
      </c>
      <c r="B42" s="25" t="s">
        <v>116</v>
      </c>
      <c r="C42" s="26" t="s">
        <v>117</v>
      </c>
      <c r="D42" s="27">
        <v>78621.0</v>
      </c>
      <c r="E42" s="28">
        <f t="shared" si="5"/>
        <v>3.710796966</v>
      </c>
      <c r="F42" s="27">
        <v>291746.5683</v>
      </c>
      <c r="G42" s="29">
        <v>7.48</v>
      </c>
      <c r="H42" s="30">
        <v>77965.0</v>
      </c>
      <c r="I42" s="31">
        <f t="shared" si="6"/>
        <v>1.150585647</v>
      </c>
      <c r="J42" s="30">
        <v>89705.41</v>
      </c>
      <c r="K42" s="32">
        <v>3.22</v>
      </c>
    </row>
    <row r="43" ht="12.75" customHeight="1">
      <c r="A43" s="25" t="s">
        <v>118</v>
      </c>
      <c r="B43" s="25" t="s">
        <v>119</v>
      </c>
      <c r="C43" s="26" t="s">
        <v>117</v>
      </c>
      <c r="D43" s="27">
        <v>112039.0</v>
      </c>
      <c r="E43" s="28">
        <f t="shared" si="5"/>
        <v>3.297884025</v>
      </c>
      <c r="F43" s="27">
        <v>369491.6283</v>
      </c>
      <c r="G43" s="29">
        <v>8.6</v>
      </c>
      <c r="H43" s="30">
        <v>116902.0</v>
      </c>
      <c r="I43" s="31">
        <f t="shared" si="6"/>
        <v>1.535578662</v>
      </c>
      <c r="J43" s="30">
        <v>179512.2167</v>
      </c>
      <c r="K43" s="32">
        <v>4.27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120</v>
      </c>
      <c r="B1" s="40" t="s">
        <v>121</v>
      </c>
      <c r="C1" s="40" t="s">
        <v>122</v>
      </c>
      <c r="D1" s="39" t="s">
        <v>123</v>
      </c>
    </row>
    <row r="2" ht="15.75" customHeight="1">
      <c r="A2" s="41">
        <v>45365.0</v>
      </c>
      <c r="B2" s="42" t="s">
        <v>124</v>
      </c>
      <c r="C2" s="43">
        <v>2023.0</v>
      </c>
      <c r="D2" s="42" t="s">
        <v>125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 t="s">
        <v>126</v>
      </c>
    </row>
    <row r="5" ht="15.75" customHeight="1">
      <c r="A5" s="46"/>
      <c r="B5" s="47"/>
      <c r="C5" s="43"/>
      <c r="D5" s="42"/>
    </row>
  </sheetData>
  <drawing r:id="rId1"/>
</worksheet>
</file>