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3"/>
    <sheet state="visible" name="FLT_EFF_MM" sheetId="2" r:id="rId4"/>
    <sheet state="visible" name="ERT_FLT_EFF_FAB" sheetId="3" r:id="rId5"/>
    <sheet state="visible" name="ERT_FLT_EFF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<sst xmlns="http://schemas.openxmlformats.org/spreadsheetml/2006/main" count="235" uniqueCount="174">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</sst>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45946.0</v>
      </c>
      <c r="C2" s="8" t="s">
        <v>5</v>
      </c>
      <c r="D2" s="9">
        <v>45930.0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8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42643.0</v>
      </c>
      <c r="D6" s="27">
        <v>0.0476</v>
      </c>
      <c r="E6" s="24"/>
      <c r="F6" s="27">
        <v>0.0284</v>
      </c>
      <c r="G6" s="28"/>
    </row>
    <row r="7" ht="12.0" customHeight="1">
      <c r="A7" s="24" t="s">
        <v>18</v>
      </c>
      <c r="B7" s="25" t="s">
        <v>20</v>
      </c>
      <c r="C7" s="26">
        <v>43008.0</v>
      </c>
      <c r="D7" s="27">
        <v>0.046</v>
      </c>
      <c r="E7" s="27"/>
      <c r="F7" s="27">
        <v>0.0272</v>
      </c>
      <c r="G7" s="28"/>
    </row>
    <row r="8" ht="12.0" customHeight="1">
      <c r="A8" s="24" t="s">
        <v>18</v>
      </c>
      <c r="B8" s="25" t="s">
        <v>21</v>
      </c>
      <c r="C8" s="26">
        <v>43373.0</v>
      </c>
      <c r="D8" s="27">
        <v>0.0457</v>
      </c>
      <c r="E8" s="27"/>
      <c r="F8" s="27">
        <v>0.027</v>
      </c>
      <c r="G8" s="28"/>
    </row>
    <row r="9" ht="12.75" customHeight="1">
      <c r="A9" s="24" t="s">
        <v>18</v>
      </c>
      <c r="B9" s="29" t="s">
        <v>22</v>
      </c>
      <c r="C9" s="26">
        <v>43738.0</v>
      </c>
      <c r="D9" s="27">
        <v>0.0453</v>
      </c>
      <c r="E9" s="27"/>
      <c r="F9" s="27">
        <v>0.0281</v>
      </c>
      <c r="G9" s="28"/>
    </row>
    <row r="10" ht="12.75" customHeight="1">
      <c r="A10" s="24" t="s">
        <v>18</v>
      </c>
      <c r="B10" s="25" t="s">
        <v>23</v>
      </c>
      <c r="C10" s="26">
        <v>44104.0</v>
      </c>
      <c r="D10" s="27">
        <v>0.0442</v>
      </c>
      <c r="E10" s="30">
        <v>0.0404</v>
      </c>
      <c r="F10" s="27">
        <v>0.0263</v>
      </c>
      <c r="G10" s="28"/>
    </row>
    <row r="11" ht="12.75" customHeight="1">
      <c r="A11" s="24" t="s">
        <v>18</v>
      </c>
      <c r="B11" s="25" t="s">
        <v>24</v>
      </c>
      <c r="C11" s="26">
        <v>44469.0</v>
      </c>
      <c r="D11" s="27">
        <v>0.0429</v>
      </c>
      <c r="E11" s="27">
        <v>0.0395</v>
      </c>
      <c r="F11" s="27">
        <v>0.0255</v>
      </c>
      <c r="G11" s="28"/>
    </row>
    <row r="12" ht="12.75" customHeight="1">
      <c r="A12" s="24" t="s">
        <v>18</v>
      </c>
      <c r="B12" s="25" t="s">
        <v>25</v>
      </c>
      <c r="C12" s="26">
        <v>44834.0</v>
      </c>
      <c r="D12" s="27">
        <v>0.045</v>
      </c>
      <c r="E12" s="27">
        <v>0.0428</v>
      </c>
      <c r="F12" s="27">
        <v>0.0291</v>
      </c>
      <c r="G12" s="28"/>
    </row>
    <row r="13" ht="12.75" customHeight="1">
      <c r="A13" s="24" t="s">
        <v>18</v>
      </c>
      <c r="B13" s="25" t="s">
        <v>26</v>
      </c>
      <c r="C13" s="26">
        <v>45199.0</v>
      </c>
      <c r="D13" s="27">
        <v>0.0448</v>
      </c>
      <c r="E13" s="27">
        <v>0.043</v>
      </c>
      <c r="F13" s="27">
        <v>0.0298</v>
      </c>
      <c r="G13" s="28"/>
    </row>
    <row r="14" ht="12.75" customHeight="1">
      <c r="A14" s="24" t="s">
        <v>18</v>
      </c>
      <c r="B14" s="25" t="s">
        <v>27</v>
      </c>
      <c r="C14" s="26">
        <v>45565.0</v>
      </c>
      <c r="D14" s="27">
        <v>0.0438</v>
      </c>
      <c r="E14" s="27">
        <v>0.0422</v>
      </c>
      <c r="F14" s="27">
        <v>0.0297</v>
      </c>
      <c r="G14" s="28"/>
    </row>
    <row r="15" ht="12.75" customHeight="1">
      <c r="A15" s="24" t="s">
        <v>28</v>
      </c>
      <c r="B15" s="25" t="s">
        <v>29</v>
      </c>
      <c r="C15" s="26">
        <v>45930.0</v>
      </c>
      <c r="D15" s="27">
        <v>0.043</v>
      </c>
      <c r="E15" s="27">
        <v>0.0415</v>
      </c>
      <c r="F15" s="27">
        <v>0.0293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45946</v>
      </c>
      <c r="C2" s="8" t="s">
        <v>5</v>
      </c>
      <c r="D2" s="9">
        <f>FLT_EFF_YY!D2</f>
        <v>45930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/>
      <c r="C87" s="61"/>
      <c r="D87" s="56"/>
      <c r="E87" s="53">
        <v>1.0</v>
      </c>
    </row>
    <row r="88">
      <c r="A88" s="54" t="s">
        <v>118</v>
      </c>
      <c r="B88" s="57"/>
      <c r="C88" s="63"/>
      <c r="D88" s="56"/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45946</v>
      </c>
      <c r="C2" s="8" t="s">
        <v>5</v>
      </c>
      <c r="D2" s="9">
        <f>FLT_EFF_YY!D2</f>
        <v>45930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45930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</v>
      </c>
      <c r="C6" s="80">
        <v>0.0415</v>
      </c>
      <c r="D6" s="81">
        <v>0.028</v>
      </c>
      <c r="E6" s="81">
        <v>0.0293</v>
      </c>
      <c r="F6" s="82">
        <f>E6-D6</f>
        <v>0.0013</v>
      </c>
    </row>
    <row r="7" ht="12.75" customHeight="1">
      <c r="A7" s="83" t="s">
        <v>130</v>
      </c>
      <c r="B7" s="81">
        <v>0.0721</v>
      </c>
      <c r="C7" s="81">
        <v>0.0674</v>
      </c>
      <c r="D7" s="80"/>
      <c r="E7" s="81">
        <v>0.0529</v>
      </c>
      <c r="F7" s="82"/>
    </row>
    <row r="8" ht="12.75" customHeight="1">
      <c r="A8" s="83" t="s">
        <v>131</v>
      </c>
      <c r="B8" s="81">
        <v>0.0383</v>
      </c>
      <c r="C8" s="81">
        <v>0.0364</v>
      </c>
      <c r="D8" s="80"/>
      <c r="E8" s="81">
        <v>0.0282</v>
      </c>
      <c r="F8" s="82"/>
    </row>
    <row r="9" ht="12.75" customHeight="1">
      <c r="A9" s="83" t="s">
        <v>132</v>
      </c>
      <c r="B9" s="81">
        <v>0.0392</v>
      </c>
      <c r="C9" s="81">
        <v>0.0384</v>
      </c>
      <c r="D9" s="80"/>
      <c r="E9" s="81">
        <v>0.0361</v>
      </c>
      <c r="F9" s="82"/>
    </row>
    <row r="10" ht="12.75" customHeight="1">
      <c r="A10" s="83" t="s">
        <v>133</v>
      </c>
      <c r="B10" s="81">
        <v>0.0265</v>
      </c>
      <c r="C10" s="81">
        <v>0.0249</v>
      </c>
      <c r="D10" s="80"/>
      <c r="E10" s="81">
        <v>0.0159</v>
      </c>
      <c r="F10" s="82"/>
    </row>
    <row r="11" ht="12.75" customHeight="1">
      <c r="A11" s="83" t="s">
        <v>134</v>
      </c>
      <c r="B11" s="81">
        <v>0.0278</v>
      </c>
      <c r="C11" s="81">
        <v>0.0269</v>
      </c>
      <c r="D11" s="80"/>
      <c r="E11" s="81">
        <v>0.0213</v>
      </c>
      <c r="F11" s="82"/>
    </row>
    <row r="12" ht="12.75" customHeight="1">
      <c r="A12" s="83" t="s">
        <v>135</v>
      </c>
      <c r="B12" s="81">
        <v>0.0529</v>
      </c>
      <c r="C12" s="81">
        <v>0.051</v>
      </c>
      <c r="D12" s="80"/>
      <c r="E12" s="81">
        <v>0.0306</v>
      </c>
      <c r="F12" s="82"/>
    </row>
    <row r="13" ht="12.75" customHeight="1">
      <c r="A13" s="83" t="s">
        <v>136</v>
      </c>
      <c r="B13" s="80">
        <v>0.0378</v>
      </c>
      <c r="C13" s="80">
        <v>0.0372</v>
      </c>
      <c r="D13" s="80"/>
      <c r="E13" s="81">
        <v>0.0324</v>
      </c>
      <c r="F13" s="82"/>
    </row>
    <row r="14" ht="12.75" customHeight="1">
      <c r="A14" s="83" t="s">
        <v>137</v>
      </c>
      <c r="B14" s="80">
        <v>0.0399</v>
      </c>
      <c r="C14" s="80">
        <v>0.0388</v>
      </c>
      <c r="D14" s="80"/>
      <c r="E14" s="80">
        <v>0.0293</v>
      </c>
      <c r="F14" s="82"/>
    </row>
    <row r="15" ht="12.75" customHeight="1">
      <c r="A15" s="83" t="s">
        <v>138</v>
      </c>
      <c r="B15" s="81">
        <v>0.0528</v>
      </c>
      <c r="C15" s="81">
        <v>0.0514</v>
      </c>
      <c r="D15" s="80"/>
      <c r="E15" s="81">
        <v>0.0355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45946</v>
      </c>
      <c r="C2" s="8" t="s">
        <v>5</v>
      </c>
      <c r="D2" s="9">
        <f>FLT_EFF_YY!D2</f>
        <v>45930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45930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0.0274</v>
      </c>
      <c r="C6" s="87">
        <v>0.0267</v>
      </c>
      <c r="D6" s="88"/>
      <c r="E6" s="88">
        <v>0.0199</v>
      </c>
      <c r="F6" s="89"/>
    </row>
    <row r="7" ht="12.75" customHeight="1">
      <c r="A7" s="90" t="s">
        <v>141</v>
      </c>
      <c r="B7" s="88">
        <v>0.0591</v>
      </c>
      <c r="C7" s="88">
        <v>0.0566</v>
      </c>
      <c r="D7" s="87"/>
      <c r="E7" s="88">
        <v>0.0338</v>
      </c>
      <c r="F7" s="89"/>
    </row>
    <row r="8" ht="12.75" customHeight="1">
      <c r="A8" s="90" t="s">
        <v>142</v>
      </c>
      <c r="B8" s="88">
        <v>0.0388</v>
      </c>
      <c r="C8" s="88">
        <v>0.0377</v>
      </c>
      <c r="D8" s="87"/>
      <c r="E8" s="88">
        <v>0.0344</v>
      </c>
      <c r="F8" s="89"/>
    </row>
    <row r="9" ht="12.75" customHeight="1">
      <c r="A9" s="90" t="s">
        <v>143</v>
      </c>
      <c r="B9" s="88">
        <v>0.0175</v>
      </c>
      <c r="C9" s="88">
        <v>0.0165</v>
      </c>
      <c r="D9" s="87"/>
      <c r="E9" s="88">
        <v>0.0148</v>
      </c>
      <c r="F9" s="89"/>
    </row>
    <row r="10" ht="12.75" customHeight="1">
      <c r="A10" s="90" t="s">
        <v>144</v>
      </c>
      <c r="B10" s="88">
        <v>0.0587</v>
      </c>
      <c r="C10" s="88">
        <v>0.0571</v>
      </c>
      <c r="D10" s="87"/>
      <c r="E10" s="88">
        <v>0.0473</v>
      </c>
      <c r="F10" s="89"/>
    </row>
    <row r="11" ht="12.75" customHeight="1">
      <c r="A11" s="90" t="s">
        <v>145</v>
      </c>
      <c r="B11" s="88">
        <v>0.0359</v>
      </c>
      <c r="C11" s="88">
        <v>0.0351</v>
      </c>
      <c r="D11" s="87"/>
      <c r="E11" s="88">
        <v>0.0246</v>
      </c>
      <c r="F11" s="89"/>
    </row>
    <row r="12" ht="12.75" customHeight="1">
      <c r="A12" s="90" t="s">
        <v>146</v>
      </c>
      <c r="B12" s="88">
        <v>0.0248</v>
      </c>
      <c r="C12" s="88">
        <v>0.0229</v>
      </c>
      <c r="D12" s="87"/>
      <c r="E12" s="88">
        <v>0.0137</v>
      </c>
      <c r="F12" s="89"/>
    </row>
    <row r="13" ht="12.75" customHeight="1">
      <c r="A13" s="90" t="s">
        <v>147</v>
      </c>
      <c r="B13" s="87">
        <v>0.0595</v>
      </c>
      <c r="C13" s="87">
        <v>0.0588</v>
      </c>
      <c r="D13" s="87"/>
      <c r="E13" s="88">
        <v>0.0582</v>
      </c>
      <c r="F13" s="89"/>
    </row>
    <row r="14" ht="12.75" customHeight="1">
      <c r="A14" s="90" t="s">
        <v>148</v>
      </c>
      <c r="B14" s="87">
        <v>0.039</v>
      </c>
      <c r="C14" s="87">
        <v>0.0401</v>
      </c>
      <c r="D14" s="87"/>
      <c r="E14" s="87">
        <v>0.037</v>
      </c>
      <c r="F14" s="89"/>
    </row>
    <row r="15" ht="12.75" customHeight="1">
      <c r="A15" s="90" t="s">
        <v>149</v>
      </c>
      <c r="B15" s="88">
        <v>0.0552</v>
      </c>
      <c r="C15" s="88">
        <v>0.0536</v>
      </c>
      <c r="D15" s="87"/>
      <c r="E15" s="88">
        <v>0.033</v>
      </c>
      <c r="F15" s="89"/>
    </row>
    <row r="16" ht="12.75" customHeight="1">
      <c r="A16" s="90" t="s">
        <v>150</v>
      </c>
      <c r="B16" s="88">
        <v>0.0475</v>
      </c>
      <c r="C16" s="88">
        <v>0.0453</v>
      </c>
      <c r="D16" s="87"/>
      <c r="E16" s="88">
        <v>0.0248</v>
      </c>
      <c r="F16" s="89"/>
    </row>
    <row r="17" ht="12.75" customHeight="1">
      <c r="A17" s="90" t="s">
        <v>151</v>
      </c>
      <c r="B17" s="88">
        <v>0.031</v>
      </c>
      <c r="C17" s="88">
        <v>0.0284</v>
      </c>
      <c r="D17" s="87"/>
      <c r="E17" s="88">
        <v>0.0213</v>
      </c>
      <c r="F17" s="89"/>
    </row>
    <row r="18" ht="12.75" customHeight="1">
      <c r="A18" s="90" t="s">
        <v>152</v>
      </c>
      <c r="B18" s="88">
        <v>0.027</v>
      </c>
      <c r="C18" s="88">
        <v>0.0266</v>
      </c>
      <c r="D18" s="87"/>
      <c r="E18" s="88">
        <v>0.0212</v>
      </c>
      <c r="F18" s="89"/>
    </row>
    <row r="19" ht="12.75" customHeight="1">
      <c r="A19" s="90" t="s">
        <v>153</v>
      </c>
      <c r="B19" s="88">
        <v>0.022</v>
      </c>
      <c r="C19" s="88">
        <v>0.0209</v>
      </c>
      <c r="D19" s="87"/>
      <c r="E19" s="88">
        <v>0.0159</v>
      </c>
      <c r="F19" s="89"/>
    </row>
    <row r="20" ht="12.75" customHeight="1">
      <c r="A20" s="90" t="s">
        <v>154</v>
      </c>
      <c r="B20" s="88">
        <v>0.0412</v>
      </c>
      <c r="C20" s="88">
        <v>0.0397</v>
      </c>
      <c r="D20" s="87"/>
      <c r="E20" s="88">
        <v>0.0302</v>
      </c>
      <c r="F20" s="89"/>
    </row>
    <row r="21" ht="12.75" customHeight="1">
      <c r="A21" s="90" t="s">
        <v>155</v>
      </c>
      <c r="B21" s="88">
        <v>0.0729</v>
      </c>
      <c r="C21" s="88">
        <v>0.0701</v>
      </c>
      <c r="D21" s="87"/>
      <c r="E21" s="88">
        <v>0.0717</v>
      </c>
      <c r="F21" s="89"/>
    </row>
    <row r="22" ht="12.75" customHeight="1">
      <c r="A22" s="90" t="s">
        <v>156</v>
      </c>
      <c r="B22" s="88">
        <v>0.1297</v>
      </c>
      <c r="C22" s="88">
        <v>0.1244</v>
      </c>
      <c r="D22" s="87"/>
      <c r="E22" s="88">
        <v>0.1138</v>
      </c>
      <c r="F22" s="89"/>
    </row>
    <row r="23" ht="12.75" customHeight="1">
      <c r="A23" s="90" t="s">
        <v>157</v>
      </c>
      <c r="B23" s="88">
        <v>0.0164</v>
      </c>
      <c r="C23" s="88">
        <v>0.014</v>
      </c>
      <c r="D23" s="87"/>
      <c r="E23" s="88">
        <v>0.0165</v>
      </c>
      <c r="F23" s="89"/>
    </row>
    <row r="24" ht="12.75" customHeight="1">
      <c r="A24" s="90" t="s">
        <v>158</v>
      </c>
      <c r="B24" s="88">
        <v>0.0464</v>
      </c>
      <c r="C24" s="88">
        <v>0.0444</v>
      </c>
      <c r="D24" s="87"/>
      <c r="E24" s="88">
        <v>0.0283</v>
      </c>
      <c r="F24" s="89"/>
    </row>
    <row r="25" ht="12.75" customHeight="1">
      <c r="A25" s="90" t="s">
        <v>159</v>
      </c>
      <c r="B25" s="88">
        <v>0.0238</v>
      </c>
      <c r="C25" s="88">
        <v>0.0235</v>
      </c>
      <c r="D25" s="87"/>
      <c r="E25" s="88">
        <v>0.0154</v>
      </c>
      <c r="F25" s="89"/>
    </row>
    <row r="26" ht="12.75" customHeight="1">
      <c r="A26" s="90" t="s">
        <v>160</v>
      </c>
      <c r="B26" s="88">
        <v>0.0655</v>
      </c>
      <c r="C26" s="88">
        <v>0.0608</v>
      </c>
      <c r="D26" s="87"/>
      <c r="E26" s="88">
        <v>0.046</v>
      </c>
      <c r="F26" s="89"/>
    </row>
    <row r="27" ht="12.75" customHeight="1">
      <c r="A27" s="90" t="s">
        <v>161</v>
      </c>
      <c r="B27" s="88">
        <v>0.0214</v>
      </c>
      <c r="C27" s="88">
        <v>0.0197</v>
      </c>
      <c r="D27" s="87"/>
      <c r="E27" s="88">
        <v>0.0171</v>
      </c>
      <c r="F27" s="89"/>
    </row>
    <row r="28" ht="12.75" customHeight="1">
      <c r="A28" s="90" t="s">
        <v>162</v>
      </c>
      <c r="B28" s="88">
        <v>0.0396</v>
      </c>
      <c r="C28" s="88">
        <v>0.0388</v>
      </c>
      <c r="D28" s="87"/>
      <c r="E28" s="88">
        <v>0.0375</v>
      </c>
      <c r="F28" s="89"/>
    </row>
    <row r="29" ht="12.75" customHeight="1">
      <c r="A29" s="90" t="s">
        <v>163</v>
      </c>
      <c r="B29" s="88">
        <v>0.0519</v>
      </c>
      <c r="C29" s="88">
        <v>0.0485</v>
      </c>
      <c r="D29" s="87"/>
      <c r="E29" s="88">
        <v>0.042</v>
      </c>
      <c r="F29" s="89"/>
    </row>
    <row r="30" ht="12.75" customHeight="1">
      <c r="A30" s="90" t="s">
        <v>164</v>
      </c>
      <c r="B30" s="88">
        <v>0.0185</v>
      </c>
      <c r="C30" s="88">
        <v>0.0181</v>
      </c>
      <c r="D30" s="87"/>
      <c r="E30" s="88">
        <v>0.0158</v>
      </c>
      <c r="F30" s="89"/>
    </row>
    <row r="31" ht="12.75" customHeight="1">
      <c r="A31" s="90" t="s">
        <v>165</v>
      </c>
      <c r="B31" s="88">
        <v>0.045</v>
      </c>
      <c r="C31" s="88">
        <v>0.044</v>
      </c>
      <c r="D31" s="87"/>
      <c r="E31" s="88">
        <v>0.0327</v>
      </c>
      <c r="F31" s="89"/>
    </row>
    <row r="32" ht="12.75" customHeight="1">
      <c r="A32" s="90" t="s">
        <v>166</v>
      </c>
      <c r="B32" s="88">
        <v>0.0274</v>
      </c>
      <c r="C32" s="88">
        <v>0.0259</v>
      </c>
      <c r="D32" s="87"/>
      <c r="E32" s="88">
        <v>0.017</v>
      </c>
      <c r="F32" s="89"/>
    </row>
    <row r="33" ht="12.75" customHeight="1">
      <c r="A33" s="90" t="s">
        <v>167</v>
      </c>
      <c r="B33" s="88">
        <v>0.064</v>
      </c>
      <c r="C33" s="88">
        <v>0.0606</v>
      </c>
      <c r="D33" s="87"/>
      <c r="E33" s="88">
        <v>0.0414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173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