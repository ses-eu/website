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<sst xmlns="http://schemas.openxmlformats.org/spreadsheetml/2006/main" count="168" uniqueCount="127">
  <si>
    <t>Data source</t>
  </si>
  <si>
    <t>EUROCONTROL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</si>
  <si>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</si>
  <si>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</si>
  <si>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</si>
  <si>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</si>
  <si>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</si>
  <si>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</si>
  <si>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</si>
  <si>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</si>
  <si>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TAXI ADDITIONAL TIME</t>
  </si>
  <si>
    <t xml:space="preserve">   </t>
  </si>
  <si>
    <t>Period: JAN-OCT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</si>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</sst>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7" t="s">
        <v>4</v>
      </c>
      <c r="J1" s="7" t="s">
        <v>4</v>
      </c>
      <c r="K1" s="6"/>
    </row>
    <row r="2" ht="12.75" customHeight="1">
      <c r="A2" s="8" t="s">
        <v>5</v>
      </c>
      <c r="B2" s="9">
        <v>46008.0</v>
      </c>
      <c r="C2" s="10" t="s">
        <v>6</v>
      </c>
      <c r="D2" s="11">
        <v>45961.0</v>
      </c>
      <c r="E2" s="8" t="s">
        <v>7</v>
      </c>
      <c r="F2" s="12" t="s">
        <v>8</v>
      </c>
      <c r="G2" s="13"/>
      <c r="H2" s="6"/>
      <c r="I2" s="7" t="s">
        <v>9</v>
      </c>
      <c r="J2" s="6"/>
      <c r="K2" s="6"/>
    </row>
    <row r="3" ht="12.75" customHeight="1">
      <c r="A3" s="14" t="s">
        <v>10</v>
      </c>
      <c r="B3" s="15"/>
      <c r="C3" s="15"/>
      <c r="D3" s="15"/>
      <c r="E3" s="16" t="s">
        <v>9</v>
      </c>
      <c r="F3" s="16" t="s">
        <v>4</v>
      </c>
      <c r="G3" s="17" t="s">
        <v>4</v>
      </c>
      <c r="H3" s="17"/>
      <c r="I3" s="17" t="s">
        <v>11</v>
      </c>
      <c r="J3" s="17" t="s">
        <v>4</v>
      </c>
      <c r="K3" s="17"/>
    </row>
    <row r="4" ht="12.75" customHeight="1">
      <c r="A4" s="18" t="s">
        <v>12</v>
      </c>
      <c r="B4" s="19"/>
      <c r="C4" s="19"/>
      <c r="D4" s="20"/>
      <c r="E4" s="20" t="s">
        <v>9</v>
      </c>
      <c r="F4" s="21"/>
      <c r="G4" s="22" t="s">
        <v>4</v>
      </c>
      <c r="H4" s="21"/>
      <c r="I4" s="21"/>
      <c r="J4" s="21"/>
      <c r="K4" s="21"/>
    </row>
    <row r="5" ht="12.75" customHeight="1">
      <c r="A5" s="23" t="s">
        <v>13</v>
      </c>
      <c r="B5" s="24" t="s">
        <v>14</v>
      </c>
      <c r="C5" s="24" t="s">
        <v>15</v>
      </c>
      <c r="D5" s="24" t="s">
        <v>16</v>
      </c>
      <c r="E5" s="24" t="s">
        <v>17</v>
      </c>
      <c r="F5" s="24" t="s">
        <v>18</v>
      </c>
      <c r="G5" s="24" t="s">
        <v>19</v>
      </c>
      <c r="H5" s="24" t="s">
        <v>20</v>
      </c>
      <c r="I5" s="24" t="s">
        <v>21</v>
      </c>
      <c r="J5" s="24" t="s">
        <v>22</v>
      </c>
      <c r="K5" s="24" t="s">
        <v>23</v>
      </c>
    </row>
    <row r="6" ht="12.75" customHeight="1">
      <c r="A6" s="25" t="s">
        <v>24</v>
      </c>
      <c r="B6" s="25" t="s">
        <v>25</v>
      </c>
      <c r="C6" s="26" t="s">
        <v>26</v>
      </c>
      <c r="D6" s="27">
        <v>76327.0</v>
      </c>
      <c r="E6" s="28">
        <f t="shared" ref="E6:E16" si="1">F6/D6</f>
        <v>3.047675135</v>
      </c>
      <c r="F6" s="27">
        <v>232619.9</v>
      </c>
      <c r="G6" s="29">
        <v>8.63</v>
      </c>
      <c r="H6" s="30">
        <v>78345.0</v>
      </c>
      <c r="I6" s="31">
        <f t="shared" ref="I6:I16" si="2">J6/H6</f>
        <v>1.287101921</v>
      </c>
      <c r="J6" s="30">
        <v>100838.0</v>
      </c>
      <c r="K6" s="32">
        <v>4.13</v>
      </c>
    </row>
    <row r="7" ht="12.75" customHeight="1">
      <c r="A7" s="25" t="s">
        <v>27</v>
      </c>
      <c r="B7" s="25" t="s">
        <v>28</v>
      </c>
      <c r="C7" s="33" t="s">
        <v>29</v>
      </c>
      <c r="D7" s="27">
        <v>75267.0</v>
      </c>
      <c r="E7" s="28">
        <f t="shared" si="1"/>
        <v>2.539502637</v>
      </c>
      <c r="F7" s="27">
        <v>191140.745</v>
      </c>
      <c r="G7" s="29">
        <v>7.96</v>
      </c>
      <c r="H7" s="30">
        <v>77163.0</v>
      </c>
      <c r="I7" s="31">
        <f t="shared" si="2"/>
        <v>1.333501289</v>
      </c>
      <c r="J7" s="30">
        <v>102896.96</v>
      </c>
      <c r="K7" s="32">
        <v>4.11</v>
      </c>
    </row>
    <row r="8" ht="12.75" customHeight="1">
      <c r="A8" s="25" t="s">
        <v>30</v>
      </c>
      <c r="B8" s="25" t="s">
        <v>31</v>
      </c>
      <c r="C8" s="26" t="s">
        <v>29</v>
      </c>
      <c r="D8" s="27">
        <v>187960.0</v>
      </c>
      <c r="E8" s="28">
        <f t="shared" si="1"/>
        <v>3.519663838</v>
      </c>
      <c r="F8" s="27">
        <v>661556.015</v>
      </c>
      <c r="G8" s="29">
        <v>10.66</v>
      </c>
      <c r="H8" s="30">
        <v>184674.0</v>
      </c>
      <c r="I8" s="31">
        <f t="shared" si="2"/>
        <v>2.400328769</v>
      </c>
      <c r="J8" s="30">
        <v>443278.315</v>
      </c>
      <c r="K8" s="32">
        <v>7.22</v>
      </c>
    </row>
    <row r="9" ht="12.75" customHeight="1">
      <c r="A9" s="25" t="s">
        <v>32</v>
      </c>
      <c r="B9" s="25" t="s">
        <v>33</v>
      </c>
      <c r="C9" s="26" t="s">
        <v>29</v>
      </c>
      <c r="D9" s="27">
        <v>48872.0</v>
      </c>
      <c r="E9" s="28">
        <f t="shared" si="1"/>
        <v>2.782711471</v>
      </c>
      <c r="F9" s="27">
        <v>135996.675</v>
      </c>
      <c r="G9" s="28">
        <v>6.74</v>
      </c>
      <c r="H9" s="30">
        <v>48674.0</v>
      </c>
      <c r="I9" s="31">
        <f t="shared" si="2"/>
        <v>1.240107244</v>
      </c>
      <c r="J9" s="30">
        <v>60360.98</v>
      </c>
      <c r="K9" s="32">
        <v>3.72</v>
      </c>
    </row>
    <row r="10" ht="12.75" customHeight="1">
      <c r="A10" s="25" t="s">
        <v>34</v>
      </c>
      <c r="B10" s="25" t="s">
        <v>35</v>
      </c>
      <c r="C10" s="26" t="s">
        <v>29</v>
      </c>
      <c r="D10" s="27">
        <v>40789.0</v>
      </c>
      <c r="E10" s="28">
        <f t="shared" si="1"/>
        <v>2.893155794</v>
      </c>
      <c r="F10" s="27">
        <v>118008.9317</v>
      </c>
      <c r="G10" s="29">
        <v>9.73</v>
      </c>
      <c r="H10" s="30">
        <v>40705.0</v>
      </c>
      <c r="I10" s="31">
        <f t="shared" si="2"/>
        <v>1.700922041</v>
      </c>
      <c r="J10" s="30">
        <v>69236.03167</v>
      </c>
      <c r="K10" s="32">
        <v>4.52</v>
      </c>
    </row>
    <row r="11" ht="12.75" customHeight="1">
      <c r="A11" s="25" t="s">
        <v>36</v>
      </c>
      <c r="B11" s="25" t="s">
        <v>37</v>
      </c>
      <c r="C11" s="26" t="s">
        <v>29</v>
      </c>
      <c r="D11" s="27">
        <v>63653.0</v>
      </c>
      <c r="E11" s="28">
        <f t="shared" si="1"/>
        <v>2.647721631</v>
      </c>
      <c r="F11" s="27">
        <v>168535.425</v>
      </c>
      <c r="G11" s="29">
        <v>8.78</v>
      </c>
      <c r="H11" s="30">
        <v>60543.0</v>
      </c>
      <c r="I11" s="31">
        <f t="shared" si="2"/>
        <v>0.9713981522</v>
      </c>
      <c r="J11" s="30">
        <v>58811.35833</v>
      </c>
      <c r="K11" s="32">
        <v>3.57</v>
      </c>
    </row>
    <row r="12" ht="12.75" customHeight="1">
      <c r="A12" s="25" t="s">
        <v>38</v>
      </c>
      <c r="B12" s="25" t="s">
        <v>39</v>
      </c>
      <c r="C12" s="26" t="s">
        <v>29</v>
      </c>
      <c r="D12" s="27">
        <v>133078.0</v>
      </c>
      <c r="E12" s="28">
        <f t="shared" si="1"/>
        <v>3.401451029</v>
      </c>
      <c r="F12" s="27">
        <v>452658.3</v>
      </c>
      <c r="G12" s="29">
        <v>9.53</v>
      </c>
      <c r="H12" s="30">
        <v>139568.0</v>
      </c>
      <c r="I12" s="31">
        <f t="shared" si="2"/>
        <v>1.686478276</v>
      </c>
      <c r="J12" s="30">
        <v>235378.4</v>
      </c>
      <c r="K12" s="32">
        <v>4.42</v>
      </c>
    </row>
    <row r="13" ht="12.75" customHeight="1">
      <c r="A13" s="25" t="s">
        <v>40</v>
      </c>
      <c r="B13" s="25" t="s">
        <v>41</v>
      </c>
      <c r="C13" s="26" t="s">
        <v>42</v>
      </c>
      <c r="D13" s="27">
        <v>60492.0</v>
      </c>
      <c r="E13" s="28">
        <f t="shared" si="1"/>
        <v>3.046523838</v>
      </c>
      <c r="F13" s="27">
        <v>184290.32</v>
      </c>
      <c r="G13" s="29">
        <v>6.01</v>
      </c>
      <c r="H13" s="30">
        <v>57620.0</v>
      </c>
      <c r="I13" s="31">
        <f t="shared" si="2"/>
        <v>1.056958955</v>
      </c>
      <c r="J13" s="30">
        <v>60901.975</v>
      </c>
      <c r="K13" s="32">
        <v>4.2</v>
      </c>
    </row>
    <row r="14" ht="12.75" customHeight="1">
      <c r="A14" s="25" t="s">
        <v>43</v>
      </c>
      <c r="B14" s="25" t="s">
        <v>44</v>
      </c>
      <c r="C14" s="26" t="s">
        <v>45</v>
      </c>
      <c r="D14" s="27">
        <v>193676.0</v>
      </c>
      <c r="E14" s="28">
        <f t="shared" si="1"/>
        <v>3.21539542</v>
      </c>
      <c r="F14" s="27">
        <v>622744.9233</v>
      </c>
      <c r="G14" s="29">
        <v>9.83</v>
      </c>
      <c r="H14" s="30">
        <v>188155.0</v>
      </c>
      <c r="I14" s="31">
        <f t="shared" si="2"/>
        <v>1.818971389</v>
      </c>
      <c r="J14" s="30">
        <v>342248.5617</v>
      </c>
      <c r="K14" s="32">
        <v>6.43</v>
      </c>
    </row>
    <row r="15" ht="12.75" customHeight="1">
      <c r="A15" s="26" t="s">
        <v>46</v>
      </c>
      <c r="B15" s="26" t="s">
        <v>47</v>
      </c>
      <c r="C15" s="26" t="s">
        <v>48</v>
      </c>
      <c r="D15" s="27">
        <v>102566.0</v>
      </c>
      <c r="E15" s="28">
        <f t="shared" si="1"/>
        <v>4.248921865</v>
      </c>
      <c r="F15" s="27">
        <v>435794.92</v>
      </c>
      <c r="G15" s="29">
        <v>10.27</v>
      </c>
      <c r="H15" s="30">
        <v>101027.0</v>
      </c>
      <c r="I15" s="31">
        <f t="shared" si="2"/>
        <v>2.067429499</v>
      </c>
      <c r="J15" s="30">
        <v>208866.2</v>
      </c>
      <c r="K15" s="32">
        <v>5.06</v>
      </c>
    </row>
    <row r="16" ht="12.75" customHeight="1">
      <c r="A16" s="25" t="s">
        <v>49</v>
      </c>
      <c r="B16" s="25" t="s">
        <v>50</v>
      </c>
      <c r="C16" s="26" t="s">
        <v>51</v>
      </c>
      <c r="D16" s="27">
        <v>98876.0</v>
      </c>
      <c r="E16" s="28">
        <f t="shared" si="1"/>
        <v>3.367798</v>
      </c>
      <c r="F16" s="27">
        <v>332994.395</v>
      </c>
      <c r="G16" s="28">
        <v>8.96</v>
      </c>
      <c r="H16" s="30">
        <v>100492.0</v>
      </c>
      <c r="I16" s="31">
        <f t="shared" si="2"/>
        <v>1.471495808</v>
      </c>
      <c r="J16" s="30">
        <v>147873.5567</v>
      </c>
      <c r="K16" s="32">
        <v>4.31</v>
      </c>
    </row>
    <row r="17" ht="12.75" customHeight="1">
      <c r="A17" s="25" t="s">
        <v>52</v>
      </c>
      <c r="B17" s="25" t="s">
        <v>53</v>
      </c>
      <c r="C17" s="26" t="s">
        <v>54</v>
      </c>
      <c r="D17" s="29" t="s">
        <v>55</v>
      </c>
      <c r="E17" s="29" t="s">
        <v>55</v>
      </c>
      <c r="F17" s="29" t="s">
        <v>55</v>
      </c>
      <c r="G17" s="29" t="s">
        <v>55</v>
      </c>
      <c r="H17" s="32" t="s">
        <v>55</v>
      </c>
      <c r="I17" s="32" t="s">
        <v>55</v>
      </c>
      <c r="J17" s="32" t="s">
        <v>55</v>
      </c>
      <c r="K17" s="32" t="s">
        <v>55</v>
      </c>
    </row>
    <row r="18" ht="12.75" customHeight="1">
      <c r="A18" s="25" t="s">
        <v>56</v>
      </c>
      <c r="B18" s="25" t="s">
        <v>57</v>
      </c>
      <c r="C18" s="26" t="s">
        <v>54</v>
      </c>
      <c r="D18" s="27">
        <v>87756.0</v>
      </c>
      <c r="E18" s="28">
        <f t="shared" ref="E18:E26" si="3">F18/D18</f>
        <v>4.200146998</v>
      </c>
      <c r="F18" s="27">
        <v>368588.1</v>
      </c>
      <c r="G18" s="29">
        <v>8.41</v>
      </c>
      <c r="H18" s="30">
        <v>88137.0</v>
      </c>
      <c r="I18" s="31">
        <f t="shared" ref="I18:I26" si="4">J18/H18</f>
        <v>1.126887686</v>
      </c>
      <c r="J18" s="30">
        <v>99320.5</v>
      </c>
      <c r="K18" s="32">
        <v>2.69</v>
      </c>
    </row>
    <row r="19" ht="12.75" customHeight="1">
      <c r="A19" s="25" t="s">
        <v>58</v>
      </c>
      <c r="B19" s="25" t="s">
        <v>59</v>
      </c>
      <c r="C19" s="26" t="s">
        <v>60</v>
      </c>
      <c r="D19" s="27">
        <v>74610.0</v>
      </c>
      <c r="E19" s="28">
        <f t="shared" si="3"/>
        <v>3.17782069</v>
      </c>
      <c r="F19" s="27">
        <v>237097.2017</v>
      </c>
      <c r="G19" s="29">
        <v>7.22</v>
      </c>
      <c r="H19" s="30">
        <v>77418.0</v>
      </c>
      <c r="I19" s="31">
        <f t="shared" si="4"/>
        <v>1.340220685</v>
      </c>
      <c r="J19" s="30">
        <v>103757.205</v>
      </c>
      <c r="K19" s="32">
        <v>2.91</v>
      </c>
    </row>
    <row r="20" ht="12.75" customHeight="1">
      <c r="A20" s="25" t="s">
        <v>61</v>
      </c>
      <c r="B20" s="25" t="s">
        <v>62</v>
      </c>
      <c r="C20" s="26" t="s">
        <v>63</v>
      </c>
      <c r="D20" s="27">
        <v>80132.0</v>
      </c>
      <c r="E20" s="28">
        <f t="shared" si="3"/>
        <v>2.634493086</v>
      </c>
      <c r="F20" s="27">
        <v>211107.2</v>
      </c>
      <c r="G20" s="29">
        <v>7.59</v>
      </c>
      <c r="H20" s="30">
        <v>80353.0</v>
      </c>
      <c r="I20" s="31">
        <f t="shared" si="4"/>
        <v>1.236847411</v>
      </c>
      <c r="J20" s="30">
        <v>99384.4</v>
      </c>
      <c r="K20" s="32">
        <v>4.31</v>
      </c>
    </row>
    <row r="21" ht="12.75" customHeight="1">
      <c r="A21" s="25" t="s">
        <v>64</v>
      </c>
      <c r="B21" s="25" t="s">
        <v>65</v>
      </c>
      <c r="C21" s="26" t="s">
        <v>66</v>
      </c>
      <c r="D21" s="27">
        <v>53351.0</v>
      </c>
      <c r="E21" s="28">
        <f t="shared" si="3"/>
        <v>2.975417143</v>
      </c>
      <c r="F21" s="27">
        <v>158741.48</v>
      </c>
      <c r="G21" s="29">
        <v>7.39</v>
      </c>
      <c r="H21" s="30">
        <v>54548.0</v>
      </c>
      <c r="I21" s="31">
        <f t="shared" si="4"/>
        <v>1.110517862</v>
      </c>
      <c r="J21" s="30">
        <v>60576.52833</v>
      </c>
      <c r="K21" s="32">
        <v>1.55</v>
      </c>
    </row>
    <row r="22" ht="12.75" customHeight="1">
      <c r="A22" s="25" t="s">
        <v>67</v>
      </c>
      <c r="B22" s="25" t="s">
        <v>68</v>
      </c>
      <c r="C22" s="26" t="s">
        <v>66</v>
      </c>
      <c r="D22" s="27">
        <v>52102.0</v>
      </c>
      <c r="E22" s="28">
        <f t="shared" si="3"/>
        <v>3.263396094</v>
      </c>
      <c r="F22" s="27">
        <v>170029.4633</v>
      </c>
      <c r="G22" s="29">
        <v>7.92</v>
      </c>
      <c r="H22" s="30">
        <v>51935.0</v>
      </c>
      <c r="I22" s="31">
        <f t="shared" si="4"/>
        <v>1.306306312</v>
      </c>
      <c r="J22" s="30">
        <v>67843.01833</v>
      </c>
      <c r="K22" s="32">
        <v>2.51</v>
      </c>
    </row>
    <row r="23" ht="12.75" customHeight="1">
      <c r="A23" s="25" t="s">
        <v>69</v>
      </c>
      <c r="B23" s="25" t="s">
        <v>70</v>
      </c>
      <c r="C23" s="26" t="s">
        <v>66</v>
      </c>
      <c r="D23" s="27">
        <v>145825.0</v>
      </c>
      <c r="E23" s="28">
        <f t="shared" si="3"/>
        <v>3.911817704</v>
      </c>
      <c r="F23" s="27">
        <v>570440.8167</v>
      </c>
      <c r="G23" s="28">
        <v>12.03</v>
      </c>
      <c r="H23" s="30">
        <v>138617.0</v>
      </c>
      <c r="I23" s="31">
        <f t="shared" si="4"/>
        <v>1.123089327</v>
      </c>
      <c r="J23" s="30">
        <v>155679.2733</v>
      </c>
      <c r="K23" s="32">
        <v>2.69</v>
      </c>
    </row>
    <row r="24" ht="12.75" customHeight="1">
      <c r="A24" s="25" t="s">
        <v>71</v>
      </c>
      <c r="B24" s="25" t="s">
        <v>72</v>
      </c>
      <c r="C24" s="26" t="s">
        <v>66</v>
      </c>
      <c r="D24" s="27">
        <v>155454.0</v>
      </c>
      <c r="E24" s="28">
        <f t="shared" si="3"/>
        <v>3.709836747</v>
      </c>
      <c r="F24" s="27">
        <v>576708.9617</v>
      </c>
      <c r="G24" s="29">
        <v>13.15</v>
      </c>
      <c r="H24" s="30">
        <v>156330.0</v>
      </c>
      <c r="I24" s="31">
        <f t="shared" si="4"/>
        <v>2.294238022</v>
      </c>
      <c r="J24" s="30">
        <v>358658.23</v>
      </c>
      <c r="K24" s="32">
        <v>6.38</v>
      </c>
    </row>
    <row r="25" ht="12.75" customHeight="1">
      <c r="A25" s="25" t="s">
        <v>73</v>
      </c>
      <c r="B25" s="25" t="s">
        <v>74</v>
      </c>
      <c r="C25" s="26" t="s">
        <v>66</v>
      </c>
      <c r="D25" s="27">
        <v>73371.0</v>
      </c>
      <c r="E25" s="28">
        <f t="shared" si="3"/>
        <v>3.51354402</v>
      </c>
      <c r="F25" s="27">
        <v>257792.2383</v>
      </c>
      <c r="G25" s="29">
        <v>8.84</v>
      </c>
      <c r="H25" s="30">
        <v>73130.0</v>
      </c>
      <c r="I25" s="31">
        <f t="shared" si="4"/>
        <v>1.494545764</v>
      </c>
      <c r="J25" s="30">
        <v>109296.1317</v>
      </c>
      <c r="K25" s="32">
        <v>3.21</v>
      </c>
    </row>
    <row r="26" ht="12.75" customHeight="1">
      <c r="A26" s="25" t="s">
        <v>75</v>
      </c>
      <c r="B26" s="25" t="s">
        <v>76</v>
      </c>
      <c r="C26" s="26" t="s">
        <v>66</v>
      </c>
      <c r="D26" s="27">
        <v>106840.0</v>
      </c>
      <c r="E26" s="28">
        <f t="shared" si="3"/>
        <v>3.804955728</v>
      </c>
      <c r="F26" s="27">
        <v>406521.47</v>
      </c>
      <c r="G26" s="29">
        <v>9.18</v>
      </c>
      <c r="H26" s="30">
        <v>105603.0</v>
      </c>
      <c r="I26" s="31">
        <f t="shared" si="4"/>
        <v>1.303281946</v>
      </c>
      <c r="J26" s="30">
        <v>137630.4833</v>
      </c>
      <c r="K26" s="32">
        <v>2.65</v>
      </c>
    </row>
    <row r="27" ht="12.75" customHeight="1">
      <c r="A27" s="25" t="s">
        <v>77</v>
      </c>
      <c r="B27" s="25" t="s">
        <v>78</v>
      </c>
      <c r="C27" s="26" t="s">
        <v>79</v>
      </c>
      <c r="D27" s="29" t="s">
        <v>55</v>
      </c>
      <c r="E27" s="29" t="s">
        <v>55</v>
      </c>
      <c r="F27" s="29" t="s">
        <v>55</v>
      </c>
      <c r="G27" s="29" t="s">
        <v>55</v>
      </c>
      <c r="H27" s="32" t="s">
        <v>55</v>
      </c>
      <c r="I27" s="32" t="s">
        <v>55</v>
      </c>
      <c r="J27" s="32" t="s">
        <v>55</v>
      </c>
      <c r="K27" s="32" t="s">
        <v>55</v>
      </c>
    </row>
    <row r="28" ht="12.75" customHeight="1">
      <c r="A28" s="25" t="s">
        <v>80</v>
      </c>
      <c r="B28" s="25" t="s">
        <v>81</v>
      </c>
      <c r="C28" s="26" t="s">
        <v>79</v>
      </c>
      <c r="D28" s="27">
        <v>64487.0</v>
      </c>
      <c r="E28" s="28">
        <f t="shared" ref="E28:E43" si="5">F28/D28</f>
        <v>3.078180098</v>
      </c>
      <c r="F28" s="27">
        <v>198502.6</v>
      </c>
      <c r="G28" s="29">
        <v>8.01</v>
      </c>
      <c r="H28" s="30">
        <v>61579.0</v>
      </c>
      <c r="I28" s="31">
        <f t="shared" ref="I28:I43" si="6">J28/H28</f>
        <v>1.203757775</v>
      </c>
      <c r="J28" s="30">
        <v>74126.2</v>
      </c>
      <c r="K28" s="32">
        <v>2.93</v>
      </c>
    </row>
    <row r="29" ht="12.75" customHeight="1">
      <c r="A29" s="25" t="s">
        <v>82</v>
      </c>
      <c r="B29" s="25" t="s">
        <v>83</v>
      </c>
      <c r="C29" s="26" t="s">
        <v>79</v>
      </c>
      <c r="D29" s="27">
        <v>167829.0</v>
      </c>
      <c r="E29" s="28">
        <f t="shared" si="5"/>
        <v>4.309441157</v>
      </c>
      <c r="F29" s="27">
        <v>723249.2</v>
      </c>
      <c r="G29" s="29">
        <v>11.74</v>
      </c>
      <c r="H29" s="30">
        <v>178484.0</v>
      </c>
      <c r="I29" s="31">
        <f t="shared" si="6"/>
        <v>2.287448903</v>
      </c>
      <c r="J29" s="30">
        <v>408273.03</v>
      </c>
      <c r="K29" s="32">
        <v>7.25</v>
      </c>
    </row>
    <row r="30" ht="12.75" customHeight="1">
      <c r="A30" s="25" t="s">
        <v>84</v>
      </c>
      <c r="B30" s="25" t="s">
        <v>85</v>
      </c>
      <c r="C30" s="26" t="s">
        <v>79</v>
      </c>
      <c r="D30" s="27">
        <v>88104.0</v>
      </c>
      <c r="E30" s="28">
        <f t="shared" si="5"/>
        <v>2.952189458</v>
      </c>
      <c r="F30" s="27">
        <v>260099.7</v>
      </c>
      <c r="G30" s="29">
        <v>8.17</v>
      </c>
      <c r="H30" s="30">
        <v>90043.0</v>
      </c>
      <c r="I30" s="31">
        <f t="shared" si="6"/>
        <v>1.594257188</v>
      </c>
      <c r="J30" s="30">
        <v>143551.7</v>
      </c>
      <c r="K30" s="32">
        <v>4.26</v>
      </c>
    </row>
    <row r="31" ht="12.75" customHeight="1">
      <c r="A31" s="25" t="s">
        <v>86</v>
      </c>
      <c r="B31" s="25" t="s">
        <v>87</v>
      </c>
      <c r="C31" s="26" t="s">
        <v>88</v>
      </c>
      <c r="D31" s="27">
        <v>87915.0</v>
      </c>
      <c r="E31" s="28">
        <f t="shared" si="5"/>
        <v>3.715439914</v>
      </c>
      <c r="F31" s="27">
        <v>326642.9</v>
      </c>
      <c r="G31" s="29">
        <v>8.11</v>
      </c>
      <c r="H31" s="30">
        <v>87703.0</v>
      </c>
      <c r="I31" s="31">
        <f t="shared" si="6"/>
        <v>2.075087511</v>
      </c>
      <c r="J31" s="30">
        <v>181991.4</v>
      </c>
      <c r="K31" s="32">
        <v>3.81</v>
      </c>
    </row>
    <row r="32" ht="12.75" customHeight="1">
      <c r="A32" s="25" t="s">
        <v>89</v>
      </c>
      <c r="B32" s="25" t="s">
        <v>90</v>
      </c>
      <c r="C32" s="26" t="s">
        <v>91</v>
      </c>
      <c r="D32" s="27">
        <v>47883.0</v>
      </c>
      <c r="E32" s="28">
        <f t="shared" si="5"/>
        <v>2.508464242</v>
      </c>
      <c r="F32" s="27">
        <v>120112.7933</v>
      </c>
      <c r="G32" s="29">
        <v>8.5</v>
      </c>
      <c r="H32" s="30">
        <v>47270.0</v>
      </c>
      <c r="I32" s="31">
        <f t="shared" si="6"/>
        <v>1.29076941</v>
      </c>
      <c r="J32" s="30">
        <v>61014.67</v>
      </c>
      <c r="K32" s="32">
        <v>3.72</v>
      </c>
    </row>
    <row r="33" ht="12.75" customHeight="1">
      <c r="A33" s="25" t="s">
        <v>92</v>
      </c>
      <c r="B33" s="25" t="s">
        <v>93</v>
      </c>
      <c r="C33" s="26" t="s">
        <v>94</v>
      </c>
      <c r="D33" s="27">
        <v>86192.0</v>
      </c>
      <c r="E33" s="28">
        <f t="shared" si="5"/>
        <v>4.436311935</v>
      </c>
      <c r="F33" s="27">
        <v>382374.5983</v>
      </c>
      <c r="G33" s="29">
        <v>11.47</v>
      </c>
      <c r="H33" s="30">
        <v>91663.0</v>
      </c>
      <c r="I33" s="31">
        <f t="shared" si="6"/>
        <v>1.945002891</v>
      </c>
      <c r="J33" s="30">
        <v>178284.8</v>
      </c>
      <c r="K33" s="32">
        <v>4.62</v>
      </c>
    </row>
    <row r="34" ht="12.75" customHeight="1">
      <c r="A34" s="25" t="s">
        <v>95</v>
      </c>
      <c r="B34" s="25" t="s">
        <v>96</v>
      </c>
      <c r="C34" s="26" t="s">
        <v>94</v>
      </c>
      <c r="D34" s="27">
        <v>43665.0</v>
      </c>
      <c r="E34" s="28">
        <f t="shared" si="5"/>
        <v>3.364887209</v>
      </c>
      <c r="F34" s="27">
        <v>146927.8</v>
      </c>
      <c r="G34" s="29">
        <v>9.24</v>
      </c>
      <c r="H34" s="30">
        <v>43613.0</v>
      </c>
      <c r="I34" s="31">
        <f t="shared" si="6"/>
        <v>2.079668906</v>
      </c>
      <c r="J34" s="30">
        <v>90700.6</v>
      </c>
      <c r="K34" s="32">
        <v>3.21</v>
      </c>
    </row>
    <row r="35" ht="12.75" customHeight="1">
      <c r="A35" s="25" t="s">
        <v>97</v>
      </c>
      <c r="B35" s="25" t="s">
        <v>98</v>
      </c>
      <c r="C35" s="26" t="s">
        <v>94</v>
      </c>
      <c r="D35" s="27">
        <v>48554.0</v>
      </c>
      <c r="E35" s="28">
        <f t="shared" si="5"/>
        <v>4.655100851</v>
      </c>
      <c r="F35" s="27">
        <v>226023.7667</v>
      </c>
      <c r="G35" s="28">
        <v>9.14</v>
      </c>
      <c r="H35" s="30">
        <v>49101.0</v>
      </c>
      <c r="I35" s="31">
        <f t="shared" si="6"/>
        <v>1.737445945</v>
      </c>
      <c r="J35" s="30">
        <v>85310.33333</v>
      </c>
      <c r="K35" s="32">
        <v>3.05</v>
      </c>
    </row>
    <row r="36" ht="12.75" customHeight="1">
      <c r="A36" s="25" t="s">
        <v>99</v>
      </c>
      <c r="B36" s="25" t="s">
        <v>100</v>
      </c>
      <c r="C36" s="26" t="s">
        <v>94</v>
      </c>
      <c r="D36" s="27">
        <v>133424.0</v>
      </c>
      <c r="E36" s="28">
        <f t="shared" si="5"/>
        <v>6.961465703</v>
      </c>
      <c r="F36" s="27">
        <v>928826.6</v>
      </c>
      <c r="G36" s="29">
        <v>12.33</v>
      </c>
      <c r="H36" s="30">
        <v>132948.0</v>
      </c>
      <c r="I36" s="31">
        <f t="shared" si="6"/>
        <v>3.222113157</v>
      </c>
      <c r="J36" s="30">
        <v>428373.5</v>
      </c>
      <c r="K36" s="32">
        <v>7.43</v>
      </c>
    </row>
    <row r="37" ht="12.75" customHeight="1">
      <c r="A37" s="25" t="s">
        <v>101</v>
      </c>
      <c r="B37" s="25" t="s">
        <v>102</v>
      </c>
      <c r="C37" s="26" t="s">
        <v>103</v>
      </c>
      <c r="D37" s="27">
        <v>52130.0</v>
      </c>
      <c r="E37" s="28">
        <f t="shared" si="5"/>
        <v>2.920124688</v>
      </c>
      <c r="F37" s="27">
        <v>152226.1</v>
      </c>
      <c r="G37" s="29">
        <v>8.57</v>
      </c>
      <c r="H37" s="30">
        <v>55565.0</v>
      </c>
      <c r="I37" s="31">
        <f t="shared" si="6"/>
        <v>1.241936471</v>
      </c>
      <c r="J37" s="30">
        <v>69008.2</v>
      </c>
      <c r="K37" s="32">
        <v>3.88</v>
      </c>
    </row>
    <row r="38" ht="12.75" customHeight="1">
      <c r="A38" s="25" t="s">
        <v>104</v>
      </c>
      <c r="B38" s="25" t="s">
        <v>105</v>
      </c>
      <c r="C38" s="26" t="s">
        <v>106</v>
      </c>
      <c r="D38" s="27">
        <v>100842.0</v>
      </c>
      <c r="E38" s="28">
        <f t="shared" si="5"/>
        <v>2.587227544</v>
      </c>
      <c r="F38" s="27">
        <v>260901.2</v>
      </c>
      <c r="G38" s="29">
        <v>6.95</v>
      </c>
      <c r="H38" s="30">
        <v>105072.0</v>
      </c>
      <c r="I38" s="31">
        <f t="shared" si="6"/>
        <v>1.513575453</v>
      </c>
      <c r="J38" s="30">
        <v>159034.4</v>
      </c>
      <c r="K38" s="32">
        <v>4.32</v>
      </c>
    </row>
    <row r="39" ht="12.75" customHeight="1">
      <c r="A39" s="25" t="s">
        <v>107</v>
      </c>
      <c r="B39" s="25" t="s">
        <v>108</v>
      </c>
      <c r="C39" s="26" t="s">
        <v>109</v>
      </c>
      <c r="D39" s="27">
        <v>47681.0</v>
      </c>
      <c r="E39" s="28">
        <f t="shared" si="5"/>
        <v>3.468159818</v>
      </c>
      <c r="F39" s="27">
        <v>165365.3283</v>
      </c>
      <c r="G39" s="29">
        <v>7.21</v>
      </c>
      <c r="H39" s="30">
        <v>47870.0</v>
      </c>
      <c r="I39" s="31">
        <f t="shared" si="6"/>
        <v>1.649516538</v>
      </c>
      <c r="J39" s="30">
        <v>78962.35667</v>
      </c>
      <c r="K39" s="32">
        <v>4.07</v>
      </c>
    </row>
    <row r="40" ht="12.75" customHeight="1">
      <c r="A40" s="25" t="s">
        <v>110</v>
      </c>
      <c r="B40" s="25" t="s">
        <v>111</v>
      </c>
      <c r="C40" s="26" t="s">
        <v>109</v>
      </c>
      <c r="D40" s="27">
        <v>96127.0</v>
      </c>
      <c r="E40" s="28">
        <f t="shared" si="5"/>
        <v>4.6338024</v>
      </c>
      <c r="F40" s="27">
        <v>445433.5233</v>
      </c>
      <c r="G40" s="29">
        <v>10.81</v>
      </c>
      <c r="H40" s="30">
        <v>96761.0</v>
      </c>
      <c r="I40" s="31">
        <f t="shared" si="6"/>
        <v>1.823518755</v>
      </c>
      <c r="J40" s="30">
        <v>176445.4983</v>
      </c>
      <c r="K40" s="32">
        <v>4.39</v>
      </c>
    </row>
    <row r="41" ht="12.75" customHeight="1">
      <c r="A41" s="25" t="s">
        <v>112</v>
      </c>
      <c r="B41" s="25" t="s">
        <v>113</v>
      </c>
      <c r="C41" s="26" t="s">
        <v>114</v>
      </c>
      <c r="D41" s="27">
        <v>45517.0</v>
      </c>
      <c r="E41" s="28">
        <f t="shared" si="5"/>
        <v>4.064154052</v>
      </c>
      <c r="F41" s="27">
        <v>184988.1</v>
      </c>
      <c r="G41" s="29">
        <v>5.67</v>
      </c>
      <c r="H41" s="30">
        <v>47077.0</v>
      </c>
      <c r="I41" s="31">
        <f t="shared" si="6"/>
        <v>1.790668479</v>
      </c>
      <c r="J41" s="30">
        <v>84299.3</v>
      </c>
      <c r="K41" s="32">
        <v>4.59</v>
      </c>
    </row>
    <row r="42" ht="12.75" customHeight="1">
      <c r="A42" s="25" t="s">
        <v>115</v>
      </c>
      <c r="B42" s="25" t="s">
        <v>116</v>
      </c>
      <c r="C42" s="26" t="s">
        <v>117</v>
      </c>
      <c r="D42" s="27">
        <v>72809.0</v>
      </c>
      <c r="E42" s="28">
        <f t="shared" si="5"/>
        <v>3.756038631</v>
      </c>
      <c r="F42" s="27">
        <v>273473.4167</v>
      </c>
      <c r="G42" s="29">
        <v>7.45</v>
      </c>
      <c r="H42" s="30">
        <v>72170.0</v>
      </c>
      <c r="I42" s="31">
        <f t="shared" si="6"/>
        <v>1.142063854</v>
      </c>
      <c r="J42" s="30">
        <v>82422.74833</v>
      </c>
      <c r="K42" s="32">
        <v>3.24</v>
      </c>
    </row>
    <row r="43" ht="12.75" customHeight="1">
      <c r="A43" s="25" t="s">
        <v>118</v>
      </c>
      <c r="B43" s="25" t="s">
        <v>119</v>
      </c>
      <c r="C43" s="26" t="s">
        <v>117</v>
      </c>
      <c r="D43" s="27">
        <v>103069.0</v>
      </c>
      <c r="E43" s="28">
        <f t="shared" si="5"/>
        <v>3.31769394</v>
      </c>
      <c r="F43" s="27">
        <v>341951.3967</v>
      </c>
      <c r="G43" s="29">
        <v>8.6</v>
      </c>
      <c r="H43" s="30">
        <v>107233.0</v>
      </c>
      <c r="I43" s="31">
        <f t="shared" si="6"/>
        <v>1.531211024</v>
      </c>
      <c r="J43" s="30">
        <v>164196.3517</v>
      </c>
      <c r="K43" s="32">
        <v>4.27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120</v>
      </c>
      <c r="B1" s="40" t="s">
        <v>121</v>
      </c>
      <c r="C1" s="40" t="s">
        <v>122</v>
      </c>
      <c r="D1" s="39" t="s">
        <v>123</v>
      </c>
    </row>
    <row r="2" ht="15.75" customHeight="1">
      <c r="A2" s="41">
        <v>45365.0</v>
      </c>
      <c r="B2" s="42" t="s">
        <v>124</v>
      </c>
      <c r="C2" s="43">
        <v>2023.0</v>
      </c>
      <c r="D2" s="42" t="s">
        <v>125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 t="s">
        <v>126</v>
      </c>
    </row>
    <row r="5" ht="15.75" customHeight="1">
      <c r="A5" s="46"/>
      <c r="B5" s="47"/>
      <c r="C5" s="43"/>
      <c r="D5" s="42"/>
    </row>
  </sheetData>
  <drawing r:id="rId1"/>
</worksheet>
</file>