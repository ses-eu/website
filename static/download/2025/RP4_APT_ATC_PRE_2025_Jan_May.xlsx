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<sst xmlns="http://schemas.openxmlformats.org/spreadsheetml/2006/main" count="159" uniqueCount="122">
  <si>
    <t>Data source</t>
  </si>
  <si>
    <t>EUROCONTROL</t>
  </si>
  <si>
    <t>Period Start</t>
  </si>
  <si>
    <t>Meta data</t>
  </si>
  <si>
    <t xml:space="preserve"> </t>
  </si>
  <si>
    <t>Release date</t>
  </si>
  <si>
    <t>Period End</t>
  </si>
  <si>
    <t>Contact</t>
  </si>
  <si>
    <t>pru-support@eurocontrol.int</t>
  </si>
  <si>
    <t xml:space="preserve">    </t>
  </si>
  <si>
    <t xml:space="preserve">  </t>
  </si>
  <si>
    <t>Period: JAN-MAY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</si>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</sst>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horizontal="left" shrinkToFit="0" wrapText="0"/>
    </xf>
    <xf borderId="0" fillId="2" fontId="3" numFmtId="165" xfId="0" applyAlignment="1" applyFont="1" applyNumberFormat="1">
      <alignment horizontal="left" shrinkToFit="0" wrapText="0"/>
    </xf>
    <xf borderId="0" fillId="2" fontId="4" numFmtId="0" xfId="0" applyAlignment="1" applyFont="1">
      <alignment horizontal="left" readingOrder="0" shrinkToFit="0" wrapText="0"/>
    </xf>
    <xf borderId="1" fillId="0" fontId="5" numFmtId="166" xfId="0" applyAlignment="1" applyBorder="1" applyFont="1" applyNumberFormat="1">
      <alignment horizontal="left" readingOrder="0" vertical="bottom"/>
    </xf>
    <xf borderId="0" fillId="2" fontId="1" numFmtId="0" xfId="0" applyAlignment="1" applyFont="1">
      <alignment readingOrder="0" vertical="bottom"/>
    </xf>
    <xf borderId="0" fillId="2" fontId="2" numFmtId="166" xfId="0" applyAlignment="1" applyFont="1" applyNumberFormat="1">
      <alignment horizontal="left" readingOrder="0" vertical="bottom"/>
    </xf>
    <xf borderId="0" fillId="2" fontId="6" numFmtId="0" xfId="0" applyAlignment="1" applyFont="1">
      <alignment horizontal="left" readingOrder="0" shrinkToFit="0" wrapText="0"/>
    </xf>
    <xf borderId="0" fillId="3" fontId="7" numFmtId="0" xfId="0" applyAlignment="1" applyFill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horizontal="center" shrinkToFit="0" vertical="center" wrapText="0"/>
    </xf>
    <xf borderId="0" fillId="4" fontId="10" numFmtId="0" xfId="0" applyAlignment="1" applyFill="1" applyFont="1">
      <alignment vertical="bottom"/>
    </xf>
    <xf borderId="2" fillId="4" fontId="10" numFmtId="0" xfId="0" applyAlignment="1" applyBorder="1" applyFont="1">
      <alignment vertical="bottom"/>
    </xf>
    <xf borderId="2" fillId="4" fontId="10" numFmtId="0" xfId="0" applyAlignment="1" applyBorder="1" applyFont="1">
      <alignment readingOrder="0" vertical="bottom"/>
    </xf>
    <xf borderId="3" fillId="4" fontId="10" numFmtId="0" xfId="0" applyAlignment="1" applyBorder="1" applyFont="1">
      <alignment vertical="bottom"/>
    </xf>
    <xf borderId="3" fillId="3" fontId="7" numFmtId="2" xfId="0" applyAlignment="1" applyBorder="1" applyFont="1" applyNumberFormat="1">
      <alignment readingOrder="0" vertical="bottom"/>
    </xf>
    <xf borderId="3" fillId="3" fontId="7" numFmtId="3" xfId="0" applyAlignment="1" applyBorder="1" applyFont="1" applyNumberFormat="1">
      <alignment readingOrder="0" shrinkToFit="0" vertical="center" wrapText="0"/>
    </xf>
    <xf borderId="3" fillId="2" fontId="7" numFmtId="2" xfId="0" applyAlignment="1" applyBorder="1" applyFont="1" applyNumberFormat="1">
      <alignment readingOrder="0" shrinkToFit="0" vertical="center" wrapText="0"/>
    </xf>
    <xf borderId="3" fillId="3" fontId="7" numFmtId="4" xfId="0" applyAlignment="1" applyBorder="1" applyFont="1" applyNumberFormat="1">
      <alignment horizontal="right" readingOrder="0" shrinkToFit="0" vertical="center" wrapText="0"/>
    </xf>
    <xf borderId="3" fillId="3" fontId="7" numFmtId="0" xfId="0" applyAlignment="1" applyBorder="1" applyFont="1">
      <alignment readingOrder="0" vertical="bottom"/>
    </xf>
    <xf borderId="0" fillId="4" fontId="10" numFmtId="0" xfId="0" applyAlignment="1" applyFont="1">
      <alignment shrinkToFit="0" wrapText="0"/>
    </xf>
    <xf borderId="0" fillId="4" fontId="10" numFmtId="0" xfId="0" applyAlignment="1" applyFont="1">
      <alignment horizontal="center" shrinkToFit="0" wrapText="0"/>
    </xf>
    <xf borderId="0" fillId="3" fontId="11" numFmtId="164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3" fontId="7" numFmtId="167" xfId="0" applyAlignment="1" applyFont="1" applyNumberFormat="1">
      <alignment readingOrder="0" shrinkToFit="0" wrapText="1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vertical="bottom"/>
    </xf>
    <xf borderId="0" fillId="3" fontId="11" numFmtId="164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19.0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5" t="s">
        <v>3</v>
      </c>
      <c r="F1" s="6" t="str">
        <f>HYPERLINK("https://www.eurocontrol.int/prudata/dashboard/metadata/atc-pre-departure-delay/","ATC pre-departure delay")</f>
        <v>ATC pre-departure delay</v>
      </c>
      <c r="G1" s="6"/>
      <c r="H1" s="7" t="s">
        <v>4</v>
      </c>
      <c r="I1" s="7" t="s">
        <v>4</v>
      </c>
    </row>
    <row r="2" ht="12.75" customHeight="1">
      <c r="A2" s="1" t="s">
        <v>5</v>
      </c>
      <c r="B2" s="8">
        <v>45853.0</v>
      </c>
      <c r="C2" s="9" t="s">
        <v>6</v>
      </c>
      <c r="D2" s="10">
        <v>45808.0</v>
      </c>
      <c r="E2" s="5" t="s">
        <v>7</v>
      </c>
      <c r="F2" s="11" t="s">
        <v>8</v>
      </c>
      <c r="G2" s="11"/>
      <c r="H2" s="11" t="s">
        <v>9</v>
      </c>
      <c r="I2" s="11"/>
    </row>
    <row r="3" ht="12.75" customHeight="1">
      <c r="A3" s="12"/>
      <c r="B3" s="12"/>
      <c r="C3" s="12"/>
      <c r="D3" s="13" t="s">
        <v>4</v>
      </c>
      <c r="E3" s="13" t="s">
        <v>4</v>
      </c>
      <c r="F3" s="13" t="s">
        <v>4</v>
      </c>
      <c r="G3" s="13" t="s">
        <v>4</v>
      </c>
      <c r="H3" s="13" t="s">
        <v>10</v>
      </c>
      <c r="I3" s="13" t="s">
        <v>4</v>
      </c>
    </row>
    <row r="4" ht="12.75" customHeight="1">
      <c r="A4" s="14" t="s">
        <v>11</v>
      </c>
      <c r="B4" s="15" t="s">
        <v>12</v>
      </c>
      <c r="C4" s="16"/>
      <c r="D4" s="16"/>
      <c r="E4" s="16"/>
      <c r="F4" s="15" t="s">
        <v>4</v>
      </c>
      <c r="G4" s="16"/>
      <c r="H4" s="16"/>
      <c r="I4" s="16"/>
    </row>
    <row r="5" ht="12.75" customHeight="1">
      <c r="A5" s="17" t="s">
        <v>13</v>
      </c>
      <c r="B5" s="18" t="s">
        <v>14</v>
      </c>
      <c r="C5" s="18" t="s">
        <v>15</v>
      </c>
      <c r="D5" s="19" t="s">
        <v>16</v>
      </c>
      <c r="E5" s="18" t="s">
        <v>17</v>
      </c>
      <c r="F5" s="18" t="s">
        <v>18</v>
      </c>
      <c r="G5" s="20" t="s">
        <v>19</v>
      </c>
      <c r="H5" s="20" t="s">
        <v>20</v>
      </c>
      <c r="I5" s="20" t="s">
        <v>21</v>
      </c>
    </row>
    <row r="6" ht="12.75" customHeight="1">
      <c r="A6" s="21" t="s">
        <v>22</v>
      </c>
      <c r="B6" s="21" t="s">
        <v>23</v>
      </c>
      <c r="C6" s="21" t="s">
        <v>24</v>
      </c>
      <c r="D6" s="22">
        <v>39270.0</v>
      </c>
      <c r="E6" s="22">
        <v>31872.0</v>
      </c>
      <c r="F6" s="23">
        <f t="shared" ref="F6:F9" si="1">E6/D6</f>
        <v>0.8116119175</v>
      </c>
      <c r="G6" s="22">
        <v>39270.0</v>
      </c>
      <c r="H6" s="22">
        <v>596880.0</v>
      </c>
      <c r="I6" s="23">
        <f t="shared" ref="I6:I43" si="2">H6/G6</f>
        <v>15.19938885</v>
      </c>
    </row>
    <row r="7" ht="12.75" customHeight="1">
      <c r="A7" s="21" t="s">
        <v>25</v>
      </c>
      <c r="B7" s="21" t="s">
        <v>26</v>
      </c>
      <c r="C7" s="21" t="s">
        <v>27</v>
      </c>
      <c r="D7" s="22">
        <v>37633.0</v>
      </c>
      <c r="E7" s="22">
        <v>13189.0</v>
      </c>
      <c r="F7" s="23">
        <f t="shared" si="1"/>
        <v>0.3504636888</v>
      </c>
      <c r="G7" s="22">
        <v>37633.0</v>
      </c>
      <c r="H7" s="22">
        <v>457882.62</v>
      </c>
      <c r="I7" s="23">
        <f t="shared" si="2"/>
        <v>12.16705073</v>
      </c>
    </row>
    <row r="8" ht="12.75" customHeight="1">
      <c r="A8" s="21" t="s">
        <v>28</v>
      </c>
      <c r="B8" s="21" t="s">
        <v>29</v>
      </c>
      <c r="C8" s="21" t="s">
        <v>27</v>
      </c>
      <c r="D8" s="22">
        <v>88926.0</v>
      </c>
      <c r="E8" s="22">
        <v>11549.0</v>
      </c>
      <c r="F8" s="23">
        <f t="shared" si="1"/>
        <v>0.1298720284</v>
      </c>
      <c r="G8" s="22">
        <v>88926.0</v>
      </c>
      <c r="H8" s="22">
        <v>1390554.87</v>
      </c>
      <c r="I8" s="23">
        <f t="shared" si="2"/>
        <v>15.63721375</v>
      </c>
    </row>
    <row r="9" ht="12.75" customHeight="1">
      <c r="A9" s="21" t="s">
        <v>30</v>
      </c>
      <c r="B9" s="21" t="s">
        <v>31</v>
      </c>
      <c r="C9" s="21" t="s">
        <v>27</v>
      </c>
      <c r="D9" s="22">
        <v>22950.0</v>
      </c>
      <c r="E9" s="22">
        <v>7385.0</v>
      </c>
      <c r="F9" s="23">
        <f t="shared" si="1"/>
        <v>0.3217864924</v>
      </c>
      <c r="G9" s="22">
        <v>22950.0</v>
      </c>
      <c r="H9" s="22">
        <v>286540.56</v>
      </c>
      <c r="I9" s="23">
        <f t="shared" si="2"/>
        <v>12.48542745</v>
      </c>
    </row>
    <row r="10" ht="12.75" customHeight="1">
      <c r="A10" s="21" t="s">
        <v>32</v>
      </c>
      <c r="B10" s="21" t="s">
        <v>33</v>
      </c>
      <c r="C10" s="21" t="s">
        <v>27</v>
      </c>
      <c r="D10" s="24" t="s">
        <v>34</v>
      </c>
      <c r="E10" s="24" t="s">
        <v>34</v>
      </c>
      <c r="F10" s="24" t="s">
        <v>34</v>
      </c>
      <c r="G10" s="22">
        <v>21404.0</v>
      </c>
      <c r="H10" s="22">
        <v>289448.74</v>
      </c>
      <c r="I10" s="23">
        <f t="shared" si="2"/>
        <v>13.52311437</v>
      </c>
    </row>
    <row r="11" ht="12.75" customHeight="1">
      <c r="A11" s="21" t="s">
        <v>35</v>
      </c>
      <c r="B11" s="21" t="s">
        <v>36</v>
      </c>
      <c r="C11" s="21" t="s">
        <v>27</v>
      </c>
      <c r="D11" s="22">
        <v>29038.0</v>
      </c>
      <c r="E11" s="22">
        <v>1988.0</v>
      </c>
      <c r="F11" s="23">
        <f t="shared" ref="F11:F13" si="3">E11/D11</f>
        <v>0.06846201529</v>
      </c>
      <c r="G11" s="22">
        <v>29038.0</v>
      </c>
      <c r="H11" s="22">
        <v>303533.81</v>
      </c>
      <c r="I11" s="23">
        <f t="shared" si="2"/>
        <v>10.45298609</v>
      </c>
    </row>
    <row r="12" ht="12.75" customHeight="1">
      <c r="A12" s="21" t="s">
        <v>37</v>
      </c>
      <c r="B12" s="21" t="s">
        <v>38</v>
      </c>
      <c r="C12" s="21" t="s">
        <v>27</v>
      </c>
      <c r="D12" s="22">
        <v>64273.0</v>
      </c>
      <c r="E12" s="22">
        <v>467.0</v>
      </c>
      <c r="F12" s="23">
        <f t="shared" si="3"/>
        <v>0.007265881474</v>
      </c>
      <c r="G12" s="22">
        <v>64273.0</v>
      </c>
      <c r="H12" s="22">
        <v>617024.0</v>
      </c>
      <c r="I12" s="23">
        <f t="shared" si="2"/>
        <v>9.600049788</v>
      </c>
    </row>
    <row r="13" ht="12.75" customHeight="1">
      <c r="A13" s="21" t="s">
        <v>39</v>
      </c>
      <c r="B13" s="21" t="s">
        <v>40</v>
      </c>
      <c r="C13" s="21" t="s">
        <v>41</v>
      </c>
      <c r="D13" s="22">
        <v>31489.0</v>
      </c>
      <c r="E13" s="22">
        <v>4546.0</v>
      </c>
      <c r="F13" s="23">
        <f t="shared" si="3"/>
        <v>0.1443678745</v>
      </c>
      <c r="G13" s="22">
        <v>31489.0</v>
      </c>
      <c r="H13" s="22">
        <v>332249.09</v>
      </c>
      <c r="I13" s="23">
        <f t="shared" si="2"/>
        <v>10.55127473</v>
      </c>
    </row>
    <row r="14" ht="12.75" customHeight="1">
      <c r="A14" s="21" t="s">
        <v>42</v>
      </c>
      <c r="B14" s="21" t="s">
        <v>43</v>
      </c>
      <c r="C14" s="21" t="s">
        <v>44</v>
      </c>
      <c r="D14" s="24" t="s">
        <v>34</v>
      </c>
      <c r="E14" s="24" t="s">
        <v>34</v>
      </c>
      <c r="F14" s="24" t="s">
        <v>34</v>
      </c>
      <c r="G14" s="22">
        <v>98957.0</v>
      </c>
      <c r="H14" s="22">
        <v>1631148.05</v>
      </c>
      <c r="I14" s="23">
        <f t="shared" si="2"/>
        <v>16.48340239</v>
      </c>
    </row>
    <row r="15" ht="12.75" customHeight="1">
      <c r="A15" s="25" t="s">
        <v>45</v>
      </c>
      <c r="B15" s="21" t="s">
        <v>46</v>
      </c>
      <c r="C15" s="21" t="s">
        <v>47</v>
      </c>
      <c r="D15" s="22">
        <v>48171.0</v>
      </c>
      <c r="E15" s="22">
        <v>35352.0</v>
      </c>
      <c r="F15" s="23">
        <f t="shared" ref="F15:F22" si="4">E15/D15</f>
        <v>0.7338855328</v>
      </c>
      <c r="G15" s="22">
        <v>48171.0</v>
      </c>
      <c r="H15" s="22">
        <v>554078.46</v>
      </c>
      <c r="I15" s="23">
        <f t="shared" si="2"/>
        <v>11.50232422</v>
      </c>
    </row>
    <row r="16" ht="12.75" customHeight="1">
      <c r="A16" s="21" t="s">
        <v>48</v>
      </c>
      <c r="B16" s="21" t="s">
        <v>49</v>
      </c>
      <c r="C16" s="21" t="s">
        <v>50</v>
      </c>
      <c r="D16" s="22">
        <v>48814.0</v>
      </c>
      <c r="E16" s="22">
        <v>4360.0</v>
      </c>
      <c r="F16" s="23">
        <f t="shared" si="4"/>
        <v>0.0893186381</v>
      </c>
      <c r="G16" s="22">
        <v>48814.0</v>
      </c>
      <c r="H16" s="22">
        <v>386483.71</v>
      </c>
      <c r="I16" s="23">
        <f t="shared" si="2"/>
        <v>7.917476748</v>
      </c>
    </row>
    <row r="17" ht="12.75" customHeight="1">
      <c r="A17" s="21" t="s">
        <v>51</v>
      </c>
      <c r="B17" s="21" t="s">
        <v>52</v>
      </c>
      <c r="C17" s="21" t="s">
        <v>53</v>
      </c>
      <c r="D17" s="22">
        <v>14718.0</v>
      </c>
      <c r="E17" s="22">
        <v>47.0</v>
      </c>
      <c r="F17" s="23">
        <f t="shared" si="4"/>
        <v>0.003193368664</v>
      </c>
      <c r="G17" s="22">
        <v>14718.0</v>
      </c>
      <c r="H17" s="22">
        <v>107340.0</v>
      </c>
      <c r="I17" s="23">
        <f t="shared" si="2"/>
        <v>7.293110477</v>
      </c>
    </row>
    <row r="18" ht="12.75" customHeight="1">
      <c r="A18" s="21" t="s">
        <v>54</v>
      </c>
      <c r="B18" s="21" t="s">
        <v>55</v>
      </c>
      <c r="C18" s="21" t="s">
        <v>53</v>
      </c>
      <c r="D18" s="22">
        <v>43738.0</v>
      </c>
      <c r="E18" s="22">
        <v>5767.0</v>
      </c>
      <c r="F18" s="23">
        <f t="shared" si="4"/>
        <v>0.1318533083</v>
      </c>
      <c r="G18" s="22">
        <v>43738.0</v>
      </c>
      <c r="H18" s="22">
        <v>309365.0</v>
      </c>
      <c r="I18" s="23">
        <f t="shared" si="2"/>
        <v>7.073140061</v>
      </c>
    </row>
    <row r="19" ht="12.75" customHeight="1">
      <c r="A19" s="21" t="s">
        <v>56</v>
      </c>
      <c r="B19" s="21" t="s">
        <v>57</v>
      </c>
      <c r="C19" s="21" t="s">
        <v>58</v>
      </c>
      <c r="D19" s="22">
        <v>38504.0</v>
      </c>
      <c r="E19" s="22">
        <v>29340.0</v>
      </c>
      <c r="F19" s="23">
        <f t="shared" si="4"/>
        <v>0.7619987534</v>
      </c>
      <c r="G19" s="22">
        <v>38504.0</v>
      </c>
      <c r="H19" s="22">
        <v>514586.45</v>
      </c>
      <c r="I19" s="23">
        <f t="shared" si="2"/>
        <v>13.3644933</v>
      </c>
    </row>
    <row r="20" ht="12.75" customHeight="1">
      <c r="A20" s="21" t="s">
        <v>59</v>
      </c>
      <c r="B20" s="21" t="s">
        <v>60</v>
      </c>
      <c r="C20" s="21" t="s">
        <v>61</v>
      </c>
      <c r="D20" s="22">
        <v>39312.0</v>
      </c>
      <c r="E20" s="22">
        <v>5603.0</v>
      </c>
      <c r="F20" s="23">
        <f t="shared" si="4"/>
        <v>0.142526455</v>
      </c>
      <c r="G20" s="22">
        <v>39312.0</v>
      </c>
      <c r="H20" s="22">
        <v>331086.0</v>
      </c>
      <c r="I20" s="23">
        <f t="shared" si="2"/>
        <v>8.422008547</v>
      </c>
    </row>
    <row r="21" ht="12.75" customHeight="1">
      <c r="A21" s="21" t="s">
        <v>62</v>
      </c>
      <c r="B21" s="21" t="s">
        <v>63</v>
      </c>
      <c r="C21" s="21" t="s">
        <v>64</v>
      </c>
      <c r="D21" s="24">
        <v>5372.0</v>
      </c>
      <c r="E21" s="24">
        <v>1664.0</v>
      </c>
      <c r="F21" s="23">
        <f t="shared" si="4"/>
        <v>0.3097542815</v>
      </c>
      <c r="G21" s="22">
        <v>29301.0</v>
      </c>
      <c r="H21" s="22">
        <v>389830.46</v>
      </c>
      <c r="I21" s="23">
        <f t="shared" si="2"/>
        <v>13.30433978</v>
      </c>
    </row>
    <row r="22" ht="12.75" customHeight="1">
      <c r="A22" s="21" t="s">
        <v>65</v>
      </c>
      <c r="B22" s="21" t="s">
        <v>66</v>
      </c>
      <c r="C22" s="21" t="s">
        <v>64</v>
      </c>
      <c r="D22" s="22">
        <v>23189.0</v>
      </c>
      <c r="E22" s="22">
        <v>15068.0</v>
      </c>
      <c r="F22" s="23">
        <f t="shared" si="4"/>
        <v>0.6497908491</v>
      </c>
      <c r="G22" s="22">
        <v>23189.0</v>
      </c>
      <c r="H22" s="22">
        <v>327252.92</v>
      </c>
      <c r="I22" s="23">
        <f t="shared" si="2"/>
        <v>14.11242054</v>
      </c>
    </row>
    <row r="23" ht="12.75" customHeight="1">
      <c r="A23" s="21" t="s">
        <v>67</v>
      </c>
      <c r="B23" s="21" t="s">
        <v>68</v>
      </c>
      <c r="C23" s="21" t="s">
        <v>64</v>
      </c>
      <c r="D23" s="24" t="s">
        <v>34</v>
      </c>
      <c r="E23" s="24" t="s">
        <v>34</v>
      </c>
      <c r="F23" s="24" t="s">
        <v>34</v>
      </c>
      <c r="G23" s="22">
        <v>70390.0</v>
      </c>
      <c r="H23" s="22">
        <v>902781.91</v>
      </c>
      <c r="I23" s="23">
        <f t="shared" si="2"/>
        <v>12.82542847</v>
      </c>
    </row>
    <row r="24" ht="12.75" customHeight="1">
      <c r="A24" s="21" t="s">
        <v>69</v>
      </c>
      <c r="B24" s="21" t="s">
        <v>70</v>
      </c>
      <c r="C24" s="21" t="s">
        <v>64</v>
      </c>
      <c r="D24" s="24" t="s">
        <v>34</v>
      </c>
      <c r="E24" s="24" t="s">
        <v>34</v>
      </c>
      <c r="F24" s="24" t="s">
        <v>34</v>
      </c>
      <c r="G24" s="22">
        <v>84973.0</v>
      </c>
      <c r="H24" s="22">
        <v>1163281.3</v>
      </c>
      <c r="I24" s="23">
        <f t="shared" si="2"/>
        <v>13.69001094</v>
      </c>
    </row>
    <row r="25" ht="12.75" customHeight="1">
      <c r="A25" s="21" t="s">
        <v>71</v>
      </c>
      <c r="B25" s="21" t="s">
        <v>72</v>
      </c>
      <c r="C25" s="21" t="s">
        <v>64</v>
      </c>
      <c r="D25" s="22">
        <v>33139.0</v>
      </c>
      <c r="E25" s="22">
        <v>15488.0</v>
      </c>
      <c r="F25" s="23">
        <f t="shared" ref="F25:F43" si="5">E25/D25</f>
        <v>0.4673647364</v>
      </c>
      <c r="G25" s="22">
        <v>33139.0</v>
      </c>
      <c r="H25" s="22">
        <v>500587.25</v>
      </c>
      <c r="I25" s="23">
        <f t="shared" si="2"/>
        <v>15.10568364</v>
      </c>
    </row>
    <row r="26" ht="12.75" customHeight="1">
      <c r="A26" s="21" t="s">
        <v>73</v>
      </c>
      <c r="B26" s="21" t="s">
        <v>74</v>
      </c>
      <c r="C26" s="21" t="s">
        <v>64</v>
      </c>
      <c r="D26" s="22">
        <v>10415.0</v>
      </c>
      <c r="E26" s="22">
        <v>3468.0</v>
      </c>
      <c r="F26" s="23">
        <f t="shared" si="5"/>
        <v>0.332981277</v>
      </c>
      <c r="G26" s="22">
        <v>39490.0</v>
      </c>
      <c r="H26" s="22">
        <v>518213.91</v>
      </c>
      <c r="I26" s="23">
        <f t="shared" si="2"/>
        <v>13.12266169</v>
      </c>
    </row>
    <row r="27" ht="12.75" customHeight="1">
      <c r="A27" s="21" t="s">
        <v>75</v>
      </c>
      <c r="B27" s="21" t="s">
        <v>76</v>
      </c>
      <c r="C27" s="21" t="s">
        <v>77</v>
      </c>
      <c r="D27" s="22">
        <v>15466.0</v>
      </c>
      <c r="E27" s="22">
        <v>3092.0</v>
      </c>
      <c r="F27" s="23">
        <f t="shared" si="5"/>
        <v>0.1999224104</v>
      </c>
      <c r="G27" s="22">
        <v>19187.0</v>
      </c>
      <c r="H27" s="22">
        <v>268072.0</v>
      </c>
      <c r="I27" s="23">
        <f t="shared" si="2"/>
        <v>13.97154323</v>
      </c>
    </row>
    <row r="28" ht="12.75" customHeight="1">
      <c r="A28" s="21" t="s">
        <v>78</v>
      </c>
      <c r="B28" s="21" t="s">
        <v>79</v>
      </c>
      <c r="C28" s="21" t="s">
        <v>77</v>
      </c>
      <c r="D28" s="22">
        <v>27063.0</v>
      </c>
      <c r="E28" s="22">
        <v>15119.0</v>
      </c>
      <c r="F28" s="23">
        <f t="shared" si="5"/>
        <v>0.5586594243</v>
      </c>
      <c r="G28" s="22">
        <v>27063.0</v>
      </c>
      <c r="H28" s="22">
        <v>405227.0</v>
      </c>
      <c r="I28" s="23">
        <f t="shared" si="2"/>
        <v>14.97346931</v>
      </c>
    </row>
    <row r="29" ht="12.75" customHeight="1">
      <c r="A29" s="21" t="s">
        <v>80</v>
      </c>
      <c r="B29" s="21" t="s">
        <v>81</v>
      </c>
      <c r="C29" s="21" t="s">
        <v>77</v>
      </c>
      <c r="D29" s="24">
        <v>20980.0</v>
      </c>
      <c r="E29" s="24">
        <v>12352.0</v>
      </c>
      <c r="F29" s="23">
        <f t="shared" si="5"/>
        <v>0.5887511916</v>
      </c>
      <c r="G29" s="22">
        <v>95282.0</v>
      </c>
      <c r="H29" s="22">
        <v>1521947.0</v>
      </c>
      <c r="I29" s="23">
        <f t="shared" si="2"/>
        <v>15.97307991</v>
      </c>
    </row>
    <row r="30" ht="12.75" customHeight="1">
      <c r="A30" s="21" t="s">
        <v>82</v>
      </c>
      <c r="B30" s="21" t="s">
        <v>83</v>
      </c>
      <c r="C30" s="21" t="s">
        <v>77</v>
      </c>
      <c r="D30" s="22">
        <v>42000.0</v>
      </c>
      <c r="E30" s="22">
        <v>24952.0</v>
      </c>
      <c r="F30" s="23">
        <f t="shared" si="5"/>
        <v>0.5940952381</v>
      </c>
      <c r="G30" s="22">
        <v>42000.0</v>
      </c>
      <c r="H30" s="22">
        <v>563744.0</v>
      </c>
      <c r="I30" s="23">
        <f t="shared" si="2"/>
        <v>13.42247619</v>
      </c>
    </row>
    <row r="31" ht="12.75" customHeight="1">
      <c r="A31" s="21" t="s">
        <v>84</v>
      </c>
      <c r="B31" s="21" t="s">
        <v>85</v>
      </c>
      <c r="C31" s="21" t="s">
        <v>86</v>
      </c>
      <c r="D31" s="22">
        <v>23948.0</v>
      </c>
      <c r="E31" s="22">
        <v>95974.0</v>
      </c>
      <c r="F31" s="23">
        <f t="shared" si="5"/>
        <v>4.0075998</v>
      </c>
      <c r="G31" s="22">
        <v>49119.0</v>
      </c>
      <c r="H31" s="22">
        <v>750625.0</v>
      </c>
      <c r="I31" s="23">
        <f t="shared" si="2"/>
        <v>15.28176469</v>
      </c>
    </row>
    <row r="32" ht="12.75" customHeight="1">
      <c r="A32" s="21" t="s">
        <v>87</v>
      </c>
      <c r="B32" s="21" t="s">
        <v>88</v>
      </c>
      <c r="C32" s="21" t="s">
        <v>89</v>
      </c>
      <c r="D32" s="22">
        <v>26769.0</v>
      </c>
      <c r="E32" s="22">
        <v>1948.0</v>
      </c>
      <c r="F32" s="23">
        <f t="shared" si="5"/>
        <v>0.07277074228</v>
      </c>
      <c r="G32" s="22">
        <v>26769.0</v>
      </c>
      <c r="H32" s="22">
        <v>409640.54</v>
      </c>
      <c r="I32" s="23">
        <f t="shared" si="2"/>
        <v>15.30279577</v>
      </c>
    </row>
    <row r="33" ht="12.75" customHeight="1">
      <c r="A33" s="21" t="s">
        <v>90</v>
      </c>
      <c r="B33" s="21" t="s">
        <v>91</v>
      </c>
      <c r="C33" s="21" t="s">
        <v>92</v>
      </c>
      <c r="D33" s="22">
        <v>43478.0</v>
      </c>
      <c r="E33" s="22">
        <v>50262.0</v>
      </c>
      <c r="F33" s="23">
        <f t="shared" si="5"/>
        <v>1.156032936</v>
      </c>
      <c r="G33" s="22">
        <v>43478.0</v>
      </c>
      <c r="H33" s="22">
        <v>685357.26</v>
      </c>
      <c r="I33" s="23">
        <f t="shared" si="2"/>
        <v>15.76331156</v>
      </c>
    </row>
    <row r="34" ht="12.75" customHeight="1">
      <c r="A34" s="21" t="s">
        <v>93</v>
      </c>
      <c r="B34" s="21" t="s">
        <v>94</v>
      </c>
      <c r="C34" s="21" t="s">
        <v>92</v>
      </c>
      <c r="D34" s="22">
        <v>20480.0</v>
      </c>
      <c r="E34" s="22">
        <v>28502.0</v>
      </c>
      <c r="F34" s="23">
        <f t="shared" si="5"/>
        <v>1.391699219</v>
      </c>
      <c r="G34" s="22">
        <v>20480.0</v>
      </c>
      <c r="H34" s="22">
        <v>294123.0</v>
      </c>
      <c r="I34" s="23">
        <f t="shared" si="2"/>
        <v>14.36147461</v>
      </c>
    </row>
    <row r="35" ht="12.75" customHeight="1">
      <c r="A35" s="21" t="s">
        <v>95</v>
      </c>
      <c r="B35" s="21" t="s">
        <v>96</v>
      </c>
      <c r="C35" s="21" t="s">
        <v>92</v>
      </c>
      <c r="D35" s="22">
        <v>23974.0</v>
      </c>
      <c r="E35" s="22">
        <v>11816.0</v>
      </c>
      <c r="F35" s="23">
        <f t="shared" si="5"/>
        <v>0.4928672729</v>
      </c>
      <c r="G35" s="22">
        <v>23974.0</v>
      </c>
      <c r="H35" s="22">
        <v>188733.79</v>
      </c>
      <c r="I35" s="23">
        <f t="shared" si="2"/>
        <v>7.872436389</v>
      </c>
    </row>
    <row r="36" ht="12.75" customHeight="1">
      <c r="A36" s="21" t="s">
        <v>97</v>
      </c>
      <c r="B36" s="21" t="s">
        <v>98</v>
      </c>
      <c r="C36" s="21" t="s">
        <v>92</v>
      </c>
      <c r="D36" s="22">
        <v>63134.0</v>
      </c>
      <c r="E36" s="22">
        <v>101811.0</v>
      </c>
      <c r="F36" s="23">
        <f t="shared" si="5"/>
        <v>1.612617607</v>
      </c>
      <c r="G36" s="22">
        <v>63134.0</v>
      </c>
      <c r="H36" s="22">
        <v>667469.0</v>
      </c>
      <c r="I36" s="23">
        <f t="shared" si="2"/>
        <v>10.572259</v>
      </c>
    </row>
    <row r="37" ht="12.75" customHeight="1">
      <c r="A37" s="21" t="s">
        <v>99</v>
      </c>
      <c r="B37" s="21" t="s">
        <v>100</v>
      </c>
      <c r="C37" s="21" t="s">
        <v>101</v>
      </c>
      <c r="D37" s="22">
        <v>15714.0</v>
      </c>
      <c r="E37" s="22">
        <v>3467.0</v>
      </c>
      <c r="F37" s="23">
        <f t="shared" si="5"/>
        <v>0.2206312842</v>
      </c>
      <c r="G37" s="22">
        <v>24885.0</v>
      </c>
      <c r="H37" s="22">
        <v>300022.0</v>
      </c>
      <c r="I37" s="23">
        <f t="shared" si="2"/>
        <v>12.05633916</v>
      </c>
    </row>
    <row r="38" ht="12.75" customHeight="1">
      <c r="A38" s="21" t="s">
        <v>102</v>
      </c>
      <c r="B38" s="21" t="s">
        <v>103</v>
      </c>
      <c r="C38" s="21" t="s">
        <v>104</v>
      </c>
      <c r="D38" s="22">
        <v>48065.0</v>
      </c>
      <c r="E38" s="22">
        <v>29973.0</v>
      </c>
      <c r="F38" s="23">
        <f t="shared" si="5"/>
        <v>0.6235930511</v>
      </c>
      <c r="G38" s="22">
        <v>48065.0</v>
      </c>
      <c r="H38" s="22">
        <v>437062.0</v>
      </c>
      <c r="I38" s="23">
        <f t="shared" si="2"/>
        <v>9.0931447</v>
      </c>
    </row>
    <row r="39" ht="12.75" customHeight="1">
      <c r="A39" s="21" t="s">
        <v>105</v>
      </c>
      <c r="B39" s="21" t="s">
        <v>106</v>
      </c>
      <c r="C39" s="21" t="s">
        <v>107</v>
      </c>
      <c r="D39" s="22">
        <v>21158.0</v>
      </c>
      <c r="E39" s="22">
        <v>11893.0</v>
      </c>
      <c r="F39" s="23">
        <f t="shared" si="5"/>
        <v>0.5621041686</v>
      </c>
      <c r="G39" s="22">
        <v>21158.0</v>
      </c>
      <c r="H39" s="22">
        <v>299882.11</v>
      </c>
      <c r="I39" s="23">
        <f t="shared" si="2"/>
        <v>14.17346205</v>
      </c>
    </row>
    <row r="40" ht="12.75" customHeight="1">
      <c r="A40" s="21" t="s">
        <v>108</v>
      </c>
      <c r="B40" s="21" t="s">
        <v>109</v>
      </c>
      <c r="C40" s="21" t="s">
        <v>107</v>
      </c>
      <c r="D40" s="22">
        <v>45907.0</v>
      </c>
      <c r="E40" s="22">
        <v>285201.0</v>
      </c>
      <c r="F40" s="23">
        <f t="shared" si="5"/>
        <v>6.212581959</v>
      </c>
      <c r="G40" s="22">
        <v>45907.0</v>
      </c>
      <c r="H40" s="22">
        <v>1077031.0</v>
      </c>
      <c r="I40" s="23">
        <f t="shared" si="2"/>
        <v>23.46114972</v>
      </c>
    </row>
    <row r="41" ht="12.75" customHeight="1">
      <c r="A41" s="21" t="s">
        <v>110</v>
      </c>
      <c r="B41" s="21" t="s">
        <v>111</v>
      </c>
      <c r="C41" s="21" t="s">
        <v>112</v>
      </c>
      <c r="D41" s="22">
        <v>24283.0</v>
      </c>
      <c r="E41" s="22">
        <v>16045.0</v>
      </c>
      <c r="F41" s="23">
        <f t="shared" si="5"/>
        <v>0.6607503192</v>
      </c>
      <c r="G41" s="22">
        <v>24283.0</v>
      </c>
      <c r="H41" s="22">
        <v>371468.0</v>
      </c>
      <c r="I41" s="23">
        <f t="shared" si="2"/>
        <v>15.29745089</v>
      </c>
    </row>
    <row r="42" ht="12.75" customHeight="1">
      <c r="A42" s="21" t="s">
        <v>113</v>
      </c>
      <c r="B42" s="21" t="s">
        <v>114</v>
      </c>
      <c r="C42" s="21" t="s">
        <v>115</v>
      </c>
      <c r="D42" s="22">
        <v>35984.0</v>
      </c>
      <c r="E42" s="22">
        <v>17021.0</v>
      </c>
      <c r="F42" s="23">
        <f t="shared" si="5"/>
        <v>0.4730157848</v>
      </c>
      <c r="G42" s="22">
        <v>35984.0</v>
      </c>
      <c r="H42" s="22">
        <v>493020.35</v>
      </c>
      <c r="I42" s="23">
        <f t="shared" si="2"/>
        <v>13.7010991</v>
      </c>
    </row>
    <row r="43" ht="12.75" customHeight="1">
      <c r="A43" s="21" t="s">
        <v>116</v>
      </c>
      <c r="B43" s="21" t="s">
        <v>117</v>
      </c>
      <c r="C43" s="21" t="s">
        <v>115</v>
      </c>
      <c r="D43" s="22">
        <v>51928.0</v>
      </c>
      <c r="E43" s="22">
        <v>55152.0</v>
      </c>
      <c r="F43" s="23">
        <f t="shared" si="5"/>
        <v>1.062085965</v>
      </c>
      <c r="G43" s="22">
        <v>51928.0</v>
      </c>
      <c r="H43" s="22">
        <v>718058.59</v>
      </c>
      <c r="I43" s="23">
        <f t="shared" si="2"/>
        <v>13.82796545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6" t="s">
        <v>118</v>
      </c>
      <c r="B1" s="27" t="s">
        <v>119</v>
      </c>
      <c r="C1" s="27" t="s">
        <v>120</v>
      </c>
      <c r="D1" s="26" t="s">
        <v>121</v>
      </c>
    </row>
    <row r="2" ht="12.75" customHeight="1">
      <c r="A2" s="28"/>
      <c r="B2" s="29"/>
      <c r="C2" s="30"/>
      <c r="D2" s="29"/>
    </row>
    <row r="3" ht="12.75" customHeight="1">
      <c r="A3" s="31"/>
      <c r="B3" s="13"/>
      <c r="C3" s="13"/>
      <c r="D3" s="13"/>
    </row>
    <row r="4" ht="12.75" customHeight="1">
      <c r="A4" s="28"/>
      <c r="B4" s="32"/>
      <c r="C4" s="33"/>
      <c r="D4" s="34"/>
    </row>
    <row r="5" ht="12.75" customHeight="1">
      <c r="A5" s="35"/>
      <c r="B5" s="32"/>
      <c r="C5" s="33"/>
      <c r="D5" s="34"/>
    </row>
  </sheetData>
  <drawing r:id="rId1"/>
</worksheet>
</file>