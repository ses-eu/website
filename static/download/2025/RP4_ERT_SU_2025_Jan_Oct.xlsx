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SU_CZ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<sst xmlns="http://schemas.openxmlformats.org/spreadsheetml/2006/main" count="62" uniqueCount="57">
  <si>
    <t>Data source</t>
  </si>
  <si>
    <t>EUROCONTROL</t>
  </si>
  <si>
    <t>Period Start</t>
  </si>
  <si>
    <t>Meta data</t>
  </si>
  <si>
    <t>N/A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</si>
  <si>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</si>
  <si>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</si>
  <si>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</si>
  <si>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</si>
  <si>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</si>
  <si>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</si>
  <si>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JAN-OCT</t>
  </si>
  <si>
    <t>SOURCE: CRCO</t>
  </si>
  <si>
    <t>En-route service units</t>
  </si>
  <si>
    <t>Actual [2024]</t>
  </si>
  <si>
    <t>Daily ER SU [2024]</t>
  </si>
  <si>
    <t>Actual [2025]</t>
  </si>
  <si>
    <t>Daily ER SU [actual, 2025]</t>
  </si>
  <si>
    <t>25/24 (%)</t>
  </si>
  <si>
    <t>Det. [2025]</t>
  </si>
  <si>
    <t>Daily ER SU [2025]</t>
  </si>
  <si>
    <t>act./det.(%)</t>
  </si>
  <si>
    <t>SES Area</t>
  </si>
  <si>
    <t>Austria</t>
  </si>
  <si>
    <t>Belgium-Luxembourg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</si>
  <si>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</si>
  <si>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</si>
  <si>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</si>
  <si>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</si>
  <si>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</si>
  <si>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</si>
  <si>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</si>
  <si>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</si>
  <si>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</si>
  <si>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</si>
  <si>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</si>
  <si>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</si>
  <si>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</si>
  <si>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</si>
  <si>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</si>
  <si>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</si>
  <si>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</si>
  <si>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</si>
  <si>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</si>
  <si>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Continental</t>
  </si>
  <si>
    <t>Romania</t>
  </si>
  <si>
    <t>Slovakia</t>
  </si>
  <si>
    <t>Slovenia</t>
  </si>
  <si>
    <t>Spain Canarias</t>
  </si>
  <si>
    <t>Spain Continental</t>
  </si>
  <si>
    <t>Sweden</t>
  </si>
  <si>
    <t>Switzerland</t>
  </si>
  <si>
    <t>Change date</t>
  </si>
  <si>
    <t>Entity</t>
  </si>
  <si>
    <t>Period</t>
  </si>
  <si>
    <t>Comment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</si>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</sst>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d mmm yyyy"/>
    <numFmt numFmtId="166" formatCode="d mmm. yyyy"/>
    <numFmt numFmtId="167" formatCode="m/d/yyyy"/>
    <numFmt numFmtId="168" formatCode="0.0%"/>
  </numFmts>
  <fonts count="15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b/>
      <sz val="10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u/>
      <sz val="10.0"/>
      <color rgb="FF396EA2"/>
      <name val="Calibri"/>
    </font>
    <font>
      <u/>
      <sz val="10.0"/>
      <color rgb="FF396EA2"/>
      <name val="Calibri"/>
    </font>
    <font>
      <sz val="10.0"/>
      <color rgb="FF000000"/>
      <name val="Calibri"/>
    </font>
    <font>
      <b/>
      <sz val="8.0"/>
      <color rgb="FFC00000"/>
      <name val="Calibri"/>
    </font>
    <font>
      <sz val="10.0"/>
      <color rgb="FFF3F3F3"/>
      <name val="Calibri"/>
    </font>
    <font>
      <sz val="9.0"/>
      <color rgb="FF000000"/>
      <name val="Calibri"/>
    </font>
    <font>
      <sz val="9.0"/>
      <color rgb="FFF3F3F3"/>
      <name val="Calibri"/>
    </font>
    <font>
      <sz val="9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</fills>
  <borders count="10">
    <border/>
    <border>
      <left/>
      <righ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3" fontId="2" numFmtId="164" xfId="0" applyAlignment="1" applyFont="1" applyNumberFormat="1">
      <alignment horizontal="left" readingOrder="0" shrinkToFit="0" wrapText="0"/>
    </xf>
    <xf borderId="3" fillId="2" fontId="3" numFmtId="0" xfId="0" applyAlignment="1" applyBorder="1" applyFont="1">
      <alignment horizontal="left" shrinkToFit="0" wrapText="0"/>
    </xf>
    <xf borderId="1" fillId="3" fontId="4" numFmtId="0" xfId="0" applyAlignment="1" applyBorder="1" applyFont="1">
      <alignment horizontal="left" readingOrder="0" shrinkToFit="0" wrapText="0"/>
    </xf>
    <xf borderId="0" fillId="3" fontId="4" numFmtId="0" xfId="0" applyAlignment="1" applyFont="1">
      <alignment horizontal="left" readingOrder="0" shrinkToFit="0" wrapText="0"/>
    </xf>
    <xf borderId="4" fillId="2" fontId="1" numFmtId="0" xfId="0" applyAlignment="1" applyBorder="1" applyFont="1">
      <alignment shrinkToFit="0" wrapText="0"/>
    </xf>
    <xf borderId="4" fillId="0" fontId="5" numFmtId="165" xfId="0" applyAlignment="1" applyBorder="1" applyFont="1" applyNumberFormat="1">
      <alignment horizontal="left" readingOrder="0" vertical="bottom"/>
    </xf>
    <xf borderId="5" fillId="2" fontId="1" numFmtId="0" xfId="0" applyAlignment="1" applyBorder="1" applyFont="1">
      <alignment shrinkToFit="0" vertical="bottom" wrapText="0"/>
    </xf>
    <xf borderId="6" fillId="3" fontId="2" numFmtId="166" xfId="0" applyAlignment="1" applyBorder="1" applyFont="1" applyNumberFormat="1">
      <alignment horizontal="left" readingOrder="0" vertical="bottom"/>
    </xf>
    <xf borderId="4" fillId="2" fontId="3" numFmtId="0" xfId="0" applyAlignment="1" applyBorder="1" applyFont="1">
      <alignment horizontal="left" shrinkToFit="0" wrapText="0"/>
    </xf>
    <xf borderId="4" fillId="3" fontId="6" numFmtId="0" xfId="0" applyAlignment="1" applyBorder="1" applyFont="1">
      <alignment horizontal="left" readingOrder="0" shrinkToFit="0" wrapText="0"/>
    </xf>
    <xf borderId="0" fillId="3" fontId="7" numFmtId="167" xfId="0" applyAlignment="1" applyFont="1" applyNumberFormat="1">
      <alignment horizontal="left" shrinkToFit="0" wrapText="0"/>
    </xf>
    <xf borderId="0" fillId="3" fontId="8" numFmtId="0" xfId="0" applyAlignment="1" applyFont="1">
      <alignment horizontal="left" readingOrder="0" shrinkToFit="0" wrapText="0"/>
    </xf>
    <xf borderId="1" fillId="3" fontId="9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3" fontId="9" numFmtId="0" xfId="0" applyAlignment="1" applyFont="1">
      <alignment readingOrder="0" shrinkToFit="0" wrapText="1"/>
    </xf>
    <xf borderId="7" fillId="3" fontId="10" numFmtId="0" xfId="0" applyAlignment="1" applyBorder="1" applyFont="1">
      <alignment horizontal="left" readingOrder="0" shrinkToFit="0" vertical="center" wrapText="0"/>
    </xf>
    <xf borderId="7" fillId="3" fontId="10" numFmtId="0" xfId="0" applyAlignment="1" applyBorder="1" applyFont="1">
      <alignment horizontal="center" readingOrder="0" shrinkToFit="0" vertical="center" wrapText="0"/>
    </xf>
    <xf borderId="7" fillId="3" fontId="10" numFmtId="0" xfId="0" applyAlignment="1" applyBorder="1" applyFont="1">
      <alignment horizontal="center" shrinkToFit="0" vertical="center" wrapText="0"/>
    </xf>
    <xf borderId="7" fillId="4" fontId="11" numFmtId="0" xfId="0" applyAlignment="1" applyBorder="1" applyFill="1" applyFont="1">
      <alignment horizontal="center" readingOrder="0" shrinkToFit="0" vertical="center" wrapText="1"/>
    </xf>
    <xf borderId="7" fillId="4" fontId="11" numFmtId="49" xfId="0" applyAlignment="1" applyBorder="1" applyFont="1" applyNumberFormat="1">
      <alignment horizontal="center" readingOrder="0" shrinkToFit="0" vertical="center" wrapText="1"/>
    </xf>
    <xf borderId="7" fillId="3" fontId="12" numFmtId="0" xfId="0" applyAlignment="1" applyBorder="1" applyFont="1">
      <alignment readingOrder="0" shrinkToFit="0" vertical="center" wrapText="0"/>
    </xf>
    <xf borderId="7" fillId="5" fontId="12" numFmtId="3" xfId="0" applyAlignment="1" applyBorder="1" applyFill="1" applyFont="1" applyNumberFormat="1">
      <alignment horizontal="right" readingOrder="0" shrinkToFit="0" vertical="center" wrapText="0"/>
    </xf>
    <xf borderId="7" fillId="5" fontId="9" numFmtId="168" xfId="0" applyAlignment="1" applyBorder="1" applyFont="1" applyNumberFormat="1">
      <alignment horizontal="right" shrinkToFit="0" wrapText="1"/>
    </xf>
    <xf borderId="7" fillId="3" fontId="12" numFmtId="3" xfId="0" applyAlignment="1" applyBorder="1" applyFont="1" applyNumberFormat="1">
      <alignment horizontal="right" readingOrder="0" shrinkToFit="0" vertical="center" wrapText="0"/>
    </xf>
    <xf borderId="0" fillId="3" fontId="12" numFmtId="0" xfId="0" applyAlignment="1" applyFont="1">
      <alignment readingOrder="0" shrinkToFit="0" vertical="center" wrapText="0"/>
    </xf>
    <xf borderId="8" fillId="4" fontId="13" numFmtId="0" xfId="0" applyAlignment="1" applyBorder="1" applyFont="1">
      <alignment shrinkToFit="0" wrapText="0"/>
    </xf>
    <xf borderId="8" fillId="4" fontId="13" numFmtId="0" xfId="0" applyAlignment="1" applyBorder="1" applyFont="1">
      <alignment horizontal="center" shrinkToFit="0" wrapText="0"/>
    </xf>
    <xf borderId="9" fillId="3" fontId="14" numFmtId="164" xfId="0" applyAlignment="1" applyBorder="1" applyFont="1" applyNumberFormat="1">
      <alignment horizontal="left" readingOrder="0" shrinkToFit="0" vertical="bottom" wrapText="0"/>
    </xf>
    <xf borderId="0" fillId="3" fontId="12" numFmtId="0" xfId="0" applyAlignment="1" applyFont="1">
      <alignment readingOrder="0" shrinkToFit="0" vertical="center" wrapText="1"/>
    </xf>
    <xf borderId="0" fillId="3" fontId="12" numFmtId="0" xfId="0" applyAlignment="1" applyFont="1">
      <alignment horizontal="center" readingOrder="0" shrinkToFit="0" vertical="center" wrapText="0"/>
    </xf>
    <xf borderId="0" fillId="3" fontId="12" numFmtId="0" xfId="0" applyAlignment="1" applyFont="1">
      <alignment readingOrder="0" shrinkToFit="0" wrapText="1"/>
    </xf>
    <xf borderId="0" fillId="3" fontId="14" numFmtId="164" xfId="0" applyAlignment="1" applyFont="1" applyNumberFormat="1">
      <alignment horizontal="center" readingOrder="0" shrinkToFit="0" vertical="bottom" wrapText="0"/>
    </xf>
    <xf borderId="0" fillId="3" fontId="12" numFmtId="17" xfId="0" applyAlignment="1" applyFont="1" applyNumberFormat="1">
      <alignment vertical="bottom"/>
    </xf>
    <xf borderId="0" fillId="3" fontId="12" numFmtId="0" xfId="0" applyAlignment="1" applyFont="1">
      <alignment horizontal="center" shrinkToFit="0" vertical="bottom" wrapText="0"/>
    </xf>
    <xf borderId="0" fillId="3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8.0"/>
    <col customWidth="1" min="3" max="3" width="11.5"/>
    <col customWidth="1" min="4" max="4" width="12.63"/>
    <col customWidth="1" min="5" max="5" width="13.5"/>
    <col customWidth="1" min="6" max="6" width="7.88"/>
    <col customWidth="1" min="7" max="7" width="13.88"/>
    <col customWidth="1" min="8" max="8" width="12.13"/>
    <col customWidth="1" min="9" max="9" width="11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5" t="s">
        <v>3</v>
      </c>
      <c r="F1" s="6" t="s">
        <v>4</v>
      </c>
      <c r="G1" s="7" t="s">
        <v>5</v>
      </c>
      <c r="H1" s="7" t="s">
        <v>5</v>
      </c>
      <c r="I1" s="7" t="s">
        <v>5</v>
      </c>
    </row>
    <row r="2" ht="12.75" customHeight="1">
      <c r="A2" s="8" t="s">
        <v>6</v>
      </c>
      <c r="B2" s="9">
        <v>45979.0</v>
      </c>
      <c r="C2" s="10" t="s">
        <v>7</v>
      </c>
      <c r="D2" s="11">
        <v>45961.0</v>
      </c>
      <c r="E2" s="12" t="s">
        <v>8</v>
      </c>
      <c r="F2" s="13" t="s">
        <v>9</v>
      </c>
      <c r="G2" s="14"/>
      <c r="H2" s="15" t="s">
        <v>5</v>
      </c>
      <c r="I2" s="14"/>
    </row>
    <row r="3" ht="12.75" customHeight="1">
      <c r="A3" s="16"/>
      <c r="B3" s="16"/>
      <c r="C3" s="16"/>
      <c r="D3" s="17" t="s">
        <v>5</v>
      </c>
      <c r="E3" s="16"/>
      <c r="F3" s="17" t="s">
        <v>10</v>
      </c>
      <c r="G3" s="18"/>
      <c r="H3" s="19" t="s">
        <v>5</v>
      </c>
      <c r="I3" s="18"/>
    </row>
    <row r="4" ht="13.5" customHeight="1">
      <c r="A4" s="20" t="s">
        <v>11</v>
      </c>
      <c r="B4" s="21" t="s">
        <v>12</v>
      </c>
      <c r="C4" s="21">
        <v>305.0</v>
      </c>
      <c r="D4" s="22"/>
      <c r="E4" s="21">
        <v>304.0</v>
      </c>
      <c r="F4" s="22"/>
      <c r="G4" s="22"/>
      <c r="H4" s="21">
        <v>304.0</v>
      </c>
      <c r="I4" s="22"/>
    </row>
    <row r="5" ht="25.5" customHeight="1">
      <c r="A5" s="23" t="s">
        <v>13</v>
      </c>
      <c r="B5" s="23" t="s">
        <v>14</v>
      </c>
      <c r="C5" s="24" t="s">
        <v>15</v>
      </c>
      <c r="D5" s="23" t="s">
        <v>16</v>
      </c>
      <c r="E5" s="23" t="s">
        <v>17</v>
      </c>
      <c r="F5" s="23" t="s">
        <v>18</v>
      </c>
      <c r="G5" s="23" t="s">
        <v>19</v>
      </c>
      <c r="H5" s="23" t="s">
        <v>20</v>
      </c>
      <c r="I5" s="23" t="s">
        <v>21</v>
      </c>
    </row>
    <row r="6" ht="12.75" customHeight="1">
      <c r="A6" s="25" t="s">
        <v>22</v>
      </c>
      <c r="B6" s="26">
        <f>sum(B7:B35)</f>
        <v>112298412</v>
      </c>
      <c r="C6" s="26">
        <f t="shared" ref="C6:C35" si="1">B6/C$4</f>
        <v>368191.5148</v>
      </c>
      <c r="D6" s="26">
        <f>sum(D7:D35)</f>
        <v>118199838</v>
      </c>
      <c r="E6" s="26">
        <f t="shared" ref="E6:E35" si="2">D6/E$4</f>
        <v>388815.2566</v>
      </c>
      <c r="F6" s="27">
        <f t="shared" ref="F6:F35" si="3">E6/C6-1</f>
        <v>0.05601362606</v>
      </c>
      <c r="G6" s="26">
        <f>sum(G7:G35)</f>
        <v>115634381</v>
      </c>
      <c r="H6" s="26">
        <f t="shared" ref="H6:H35" si="4">G6/H$4</f>
        <v>380376.2533</v>
      </c>
      <c r="I6" s="27">
        <f t="shared" ref="I6:I35" si="5">D6/G6-1</f>
        <v>0.02218593621</v>
      </c>
    </row>
    <row r="7" ht="12.75" customHeight="1">
      <c r="A7" s="25" t="s">
        <v>23</v>
      </c>
      <c r="B7" s="28">
        <v>3435816.0</v>
      </c>
      <c r="C7" s="26">
        <f t="shared" si="1"/>
        <v>11264.97049</v>
      </c>
      <c r="D7" s="28">
        <v>3870200.0</v>
      </c>
      <c r="E7" s="26">
        <f t="shared" si="2"/>
        <v>12730.92105</v>
      </c>
      <c r="F7" s="27">
        <f t="shared" si="3"/>
        <v>0.1301335465</v>
      </c>
      <c r="G7" s="28">
        <v>3566827.0</v>
      </c>
      <c r="H7" s="26">
        <f t="shared" si="4"/>
        <v>11732.98355</v>
      </c>
      <c r="I7" s="27">
        <f t="shared" si="5"/>
        <v>0.08505402701</v>
      </c>
    </row>
    <row r="8" ht="12.75" customHeight="1">
      <c r="A8" s="25" t="s">
        <v>24</v>
      </c>
      <c r="B8" s="28">
        <v>2135675.0</v>
      </c>
      <c r="C8" s="26">
        <f t="shared" si="1"/>
        <v>7002.213115</v>
      </c>
      <c r="D8" s="28">
        <v>2317041.0</v>
      </c>
      <c r="E8" s="26">
        <f t="shared" si="2"/>
        <v>7621.845395</v>
      </c>
      <c r="F8" s="27">
        <f t="shared" si="3"/>
        <v>0.08849091992</v>
      </c>
      <c r="G8" s="28">
        <v>2181938.0</v>
      </c>
      <c r="H8" s="26">
        <f t="shared" si="4"/>
        <v>7177.427632</v>
      </c>
      <c r="I8" s="27">
        <f t="shared" si="5"/>
        <v>0.06191880796</v>
      </c>
    </row>
    <row r="9" ht="12.75" customHeight="1">
      <c r="A9" s="25" t="s">
        <v>25</v>
      </c>
      <c r="B9" s="28">
        <v>4258197.0</v>
      </c>
      <c r="C9" s="26">
        <f t="shared" si="1"/>
        <v>13961.30164</v>
      </c>
      <c r="D9" s="28">
        <v>4641398.0</v>
      </c>
      <c r="E9" s="26">
        <f t="shared" si="2"/>
        <v>15267.75658</v>
      </c>
      <c r="F9" s="27">
        <f t="shared" si="3"/>
        <v>0.09357687223</v>
      </c>
      <c r="G9" s="28">
        <v>4505662.0</v>
      </c>
      <c r="H9" s="26">
        <f t="shared" si="4"/>
        <v>14821.25658</v>
      </c>
      <c r="I9" s="27">
        <f t="shared" si="5"/>
        <v>0.03012565079</v>
      </c>
    </row>
    <row r="10" ht="12.75" customHeight="1">
      <c r="A10" s="25" t="s">
        <v>26</v>
      </c>
      <c r="B10" s="28">
        <v>2676216.0</v>
      </c>
      <c r="C10" s="26">
        <f t="shared" si="1"/>
        <v>8774.478689</v>
      </c>
      <c r="D10" s="28">
        <v>2790009.0</v>
      </c>
      <c r="E10" s="26">
        <f t="shared" si="2"/>
        <v>9177.661184</v>
      </c>
      <c r="F10" s="27">
        <f t="shared" si="3"/>
        <v>0.04594945295</v>
      </c>
      <c r="G10" s="28">
        <v>2636987.0</v>
      </c>
      <c r="H10" s="26">
        <f t="shared" si="4"/>
        <v>8674.299342</v>
      </c>
      <c r="I10" s="27">
        <f t="shared" si="5"/>
        <v>0.0580291067</v>
      </c>
    </row>
    <row r="11" ht="12.75" customHeight="1">
      <c r="A11" s="25" t="s">
        <v>27</v>
      </c>
      <c r="B11" s="28">
        <v>1564881.0</v>
      </c>
      <c r="C11" s="26">
        <f t="shared" si="1"/>
        <v>5130.757377</v>
      </c>
      <c r="D11" s="28">
        <v>1739731.0</v>
      </c>
      <c r="E11" s="26">
        <f t="shared" si="2"/>
        <v>5722.799342</v>
      </c>
      <c r="F11" s="27">
        <f t="shared" si="3"/>
        <v>0.1153907545</v>
      </c>
      <c r="G11" s="28">
        <v>1584346.0</v>
      </c>
      <c r="H11" s="26">
        <f t="shared" si="4"/>
        <v>5211.664474</v>
      </c>
      <c r="I11" s="27">
        <f t="shared" si="5"/>
        <v>0.09807516792</v>
      </c>
    </row>
    <row r="12" ht="12.75" customHeight="1">
      <c r="A12" s="25" t="s">
        <v>28</v>
      </c>
      <c r="B12" s="28">
        <v>2007545.0</v>
      </c>
      <c r="C12" s="26">
        <f t="shared" si="1"/>
        <v>6582.114754</v>
      </c>
      <c r="D12" s="28">
        <v>2110775.0</v>
      </c>
      <c r="E12" s="26">
        <f t="shared" si="2"/>
        <v>6943.338816</v>
      </c>
      <c r="F12" s="27">
        <f t="shared" si="3"/>
        <v>0.05487963598</v>
      </c>
      <c r="G12" s="28">
        <v>2104476.0</v>
      </c>
      <c r="H12" s="26">
        <f t="shared" si="4"/>
        <v>6922.618421</v>
      </c>
      <c r="I12" s="27">
        <f t="shared" si="5"/>
        <v>0.002993144137</v>
      </c>
    </row>
    <row r="13" ht="12.75" customHeight="1">
      <c r="A13" s="25" t="s">
        <v>29</v>
      </c>
      <c r="B13" s="28">
        <v>1331628.0</v>
      </c>
      <c r="C13" s="26">
        <f t="shared" si="1"/>
        <v>4365.993443</v>
      </c>
      <c r="D13" s="28">
        <v>1317397.0</v>
      </c>
      <c r="E13" s="26">
        <f t="shared" si="2"/>
        <v>4333.542763</v>
      </c>
      <c r="F13" s="27">
        <f t="shared" si="3"/>
        <v>-0.007432599222</v>
      </c>
      <c r="G13" s="28">
        <v>1373887.0</v>
      </c>
      <c r="H13" s="26">
        <f t="shared" si="4"/>
        <v>4519.365132</v>
      </c>
      <c r="I13" s="27">
        <f t="shared" si="5"/>
        <v>-0.04111691864</v>
      </c>
    </row>
    <row r="14" ht="12.75" customHeight="1">
      <c r="A14" s="25" t="s">
        <v>30</v>
      </c>
      <c r="B14" s="28">
        <v>464295.0</v>
      </c>
      <c r="C14" s="26">
        <f t="shared" si="1"/>
        <v>1522.278689</v>
      </c>
      <c r="D14" s="28">
        <v>546446.0</v>
      </c>
      <c r="E14" s="26">
        <f t="shared" si="2"/>
        <v>1797.519737</v>
      </c>
      <c r="F14" s="27">
        <f t="shared" si="3"/>
        <v>0.1808085802</v>
      </c>
      <c r="G14" s="28">
        <v>476701.0</v>
      </c>
      <c r="H14" s="26">
        <f t="shared" si="4"/>
        <v>1568.095395</v>
      </c>
      <c r="I14" s="27">
        <f t="shared" si="5"/>
        <v>0.1463076436</v>
      </c>
    </row>
    <row r="15" ht="12.75" customHeight="1">
      <c r="A15" s="25" t="s">
        <v>31</v>
      </c>
      <c r="B15" s="28">
        <v>632339.0</v>
      </c>
      <c r="C15" s="26">
        <f t="shared" si="1"/>
        <v>2073.242623</v>
      </c>
      <c r="D15" s="28">
        <v>554578.0</v>
      </c>
      <c r="E15" s="26">
        <f t="shared" si="2"/>
        <v>1824.269737</v>
      </c>
      <c r="F15" s="27">
        <f t="shared" si="3"/>
        <v>-0.1200886396</v>
      </c>
      <c r="G15" s="28">
        <v>684712.0</v>
      </c>
      <c r="H15" s="26">
        <f t="shared" si="4"/>
        <v>2252.342105</v>
      </c>
      <c r="I15" s="27">
        <f t="shared" si="5"/>
        <v>-0.1900565493</v>
      </c>
    </row>
    <row r="16" ht="12.75" customHeight="1">
      <c r="A16" s="25" t="s">
        <v>32</v>
      </c>
      <c r="B16" s="28">
        <v>1.9522175E7</v>
      </c>
      <c r="C16" s="26">
        <f t="shared" si="1"/>
        <v>64007.13115</v>
      </c>
      <c r="D16" s="28">
        <v>2.0260093E7</v>
      </c>
      <c r="E16" s="26">
        <f t="shared" si="2"/>
        <v>66645.04276</v>
      </c>
      <c r="F16" s="27">
        <f t="shared" si="3"/>
        <v>0.04121277689</v>
      </c>
      <c r="G16" s="28">
        <v>1.9601358E7</v>
      </c>
      <c r="H16" s="26">
        <f t="shared" si="4"/>
        <v>64478.15132</v>
      </c>
      <c r="I16" s="27">
        <f t="shared" si="5"/>
        <v>0.03360660011</v>
      </c>
    </row>
    <row r="17" ht="12.75" customHeight="1">
      <c r="A17" s="25" t="s">
        <v>33</v>
      </c>
      <c r="B17" s="28">
        <v>1.2280858E7</v>
      </c>
      <c r="C17" s="26">
        <f t="shared" si="1"/>
        <v>40265.1082</v>
      </c>
      <c r="D17" s="28">
        <v>1.2748797E7</v>
      </c>
      <c r="E17" s="26">
        <f t="shared" si="2"/>
        <v>41936.83224</v>
      </c>
      <c r="F17" s="27">
        <f t="shared" si="3"/>
        <v>0.0415179324</v>
      </c>
      <c r="G17" s="28">
        <v>1.2511575E7</v>
      </c>
      <c r="H17" s="26">
        <f t="shared" si="4"/>
        <v>41156.49671</v>
      </c>
      <c r="I17" s="27">
        <f t="shared" si="5"/>
        <v>0.01896020285</v>
      </c>
    </row>
    <row r="18" ht="12.75" customHeight="1">
      <c r="A18" s="25" t="s">
        <v>34</v>
      </c>
      <c r="B18" s="28">
        <v>6680137.0</v>
      </c>
      <c r="C18" s="26">
        <f t="shared" si="1"/>
        <v>21902.08852</v>
      </c>
      <c r="D18" s="28">
        <v>7083278.0</v>
      </c>
      <c r="E18" s="26">
        <f t="shared" si="2"/>
        <v>23300.25658</v>
      </c>
      <c r="F18" s="27">
        <f t="shared" si="3"/>
        <v>0.06383720223</v>
      </c>
      <c r="G18" s="28">
        <v>6790811.0</v>
      </c>
      <c r="H18" s="26">
        <f t="shared" si="4"/>
        <v>22338.19408</v>
      </c>
      <c r="I18" s="27">
        <f t="shared" si="5"/>
        <v>0.04306805181</v>
      </c>
    </row>
    <row r="19" ht="12.75" customHeight="1">
      <c r="A19" s="25" t="s">
        <v>35</v>
      </c>
      <c r="B19" s="28">
        <v>3293169.0</v>
      </c>
      <c r="C19" s="26">
        <f t="shared" si="1"/>
        <v>10797.27541</v>
      </c>
      <c r="D19" s="28">
        <v>3692409.0</v>
      </c>
      <c r="E19" s="26">
        <f t="shared" si="2"/>
        <v>12146.08224</v>
      </c>
      <c r="F19" s="27">
        <f t="shared" si="3"/>
        <v>0.1249210357</v>
      </c>
      <c r="G19" s="28">
        <v>3378950.0</v>
      </c>
      <c r="H19" s="26">
        <f t="shared" si="4"/>
        <v>11114.96711</v>
      </c>
      <c r="I19" s="27">
        <f t="shared" si="5"/>
        <v>0.09276816763</v>
      </c>
    </row>
    <row r="20" ht="12.75" customHeight="1">
      <c r="A20" s="25" t="s">
        <v>36</v>
      </c>
      <c r="B20" s="28">
        <v>4273604.0</v>
      </c>
      <c r="C20" s="26">
        <f t="shared" si="1"/>
        <v>14011.81639</v>
      </c>
      <c r="D20" s="28">
        <v>4436927.0</v>
      </c>
      <c r="E20" s="26">
        <f t="shared" si="2"/>
        <v>14595.15461</v>
      </c>
      <c r="F20" s="27">
        <f t="shared" si="3"/>
        <v>0.04163187666</v>
      </c>
      <c r="G20" s="28">
        <v>4433454.0</v>
      </c>
      <c r="H20" s="26">
        <f t="shared" si="4"/>
        <v>14583.73026</v>
      </c>
      <c r="I20" s="27">
        <f t="shared" si="5"/>
        <v>0.0007833621371</v>
      </c>
    </row>
    <row r="21" ht="12.75" customHeight="1">
      <c r="A21" s="25" t="s">
        <v>37</v>
      </c>
      <c r="B21" s="28">
        <v>1.0171386E7</v>
      </c>
      <c r="C21" s="26">
        <f t="shared" si="1"/>
        <v>33348.80656</v>
      </c>
      <c r="D21" s="28">
        <v>1.0751451E7</v>
      </c>
      <c r="E21" s="26">
        <f t="shared" si="2"/>
        <v>35366.61513</v>
      </c>
      <c r="F21" s="27">
        <f t="shared" si="3"/>
        <v>0.06050617046</v>
      </c>
      <c r="G21" s="28">
        <v>1.0798527E7</v>
      </c>
      <c r="H21" s="26">
        <f t="shared" si="4"/>
        <v>35521.47039</v>
      </c>
      <c r="I21" s="27">
        <f t="shared" si="5"/>
        <v>-0.004359483474</v>
      </c>
    </row>
    <row r="22" ht="12.75" customHeight="1">
      <c r="A22" s="25" t="s">
        <v>38</v>
      </c>
      <c r="B22" s="28">
        <v>485218.0</v>
      </c>
      <c r="C22" s="26">
        <f t="shared" si="1"/>
        <v>1590.878689</v>
      </c>
      <c r="D22" s="28">
        <v>522083.0</v>
      </c>
      <c r="E22" s="26">
        <f t="shared" si="2"/>
        <v>1717.378289</v>
      </c>
      <c r="F22" s="27">
        <f t="shared" si="3"/>
        <v>0.07951555443</v>
      </c>
      <c r="G22" s="28">
        <v>487217.0</v>
      </c>
      <c r="H22" s="26">
        <f t="shared" si="4"/>
        <v>1602.6875</v>
      </c>
      <c r="I22" s="27">
        <f t="shared" si="5"/>
        <v>0.07156154239</v>
      </c>
    </row>
    <row r="23" ht="12.75" customHeight="1">
      <c r="A23" s="25" t="s">
        <v>39</v>
      </c>
      <c r="B23" s="28">
        <v>389881.0</v>
      </c>
      <c r="C23" s="26">
        <f t="shared" si="1"/>
        <v>1278.298361</v>
      </c>
      <c r="D23" s="28">
        <v>420738.0</v>
      </c>
      <c r="E23" s="26">
        <f t="shared" si="2"/>
        <v>1384.006579</v>
      </c>
      <c r="F23" s="27">
        <f t="shared" si="3"/>
        <v>0.08269448006</v>
      </c>
      <c r="G23" s="28">
        <v>410395.0</v>
      </c>
      <c r="H23" s="26">
        <f t="shared" si="4"/>
        <v>1349.983553</v>
      </c>
      <c r="I23" s="27">
        <f t="shared" si="5"/>
        <v>0.02520254876</v>
      </c>
    </row>
    <row r="24" ht="12.75" customHeight="1">
      <c r="A24" s="25" t="s">
        <v>40</v>
      </c>
      <c r="B24" s="28">
        <v>930315.0</v>
      </c>
      <c r="C24" s="26">
        <f t="shared" si="1"/>
        <v>3050.213115</v>
      </c>
      <c r="D24" s="28">
        <v>1070519.0</v>
      </c>
      <c r="E24" s="26">
        <f t="shared" si="2"/>
        <v>3521.444079</v>
      </c>
      <c r="F24" s="27">
        <f t="shared" si="3"/>
        <v>0.1544911606</v>
      </c>
      <c r="G24" s="28">
        <v>977315.0</v>
      </c>
      <c r="H24" s="26">
        <f t="shared" si="4"/>
        <v>3214.851974</v>
      </c>
      <c r="I24" s="27">
        <f t="shared" si="5"/>
        <v>0.09536740969</v>
      </c>
    </row>
    <row r="25" ht="12.75" customHeight="1">
      <c r="A25" s="25" t="s">
        <v>41</v>
      </c>
      <c r="B25" s="28">
        <v>2546874.0</v>
      </c>
      <c r="C25" s="26">
        <f t="shared" si="1"/>
        <v>8350.406557</v>
      </c>
      <c r="D25" s="28">
        <v>2457514.0</v>
      </c>
      <c r="E25" s="26">
        <f t="shared" si="2"/>
        <v>8083.927632</v>
      </c>
      <c r="F25" s="27">
        <f t="shared" si="3"/>
        <v>-0.03191209002</v>
      </c>
      <c r="G25" s="28">
        <v>2626434.0</v>
      </c>
      <c r="H25" s="26">
        <f t="shared" si="4"/>
        <v>8639.585526</v>
      </c>
      <c r="I25" s="27">
        <f t="shared" si="5"/>
        <v>-0.06431534164</v>
      </c>
    </row>
    <row r="26" ht="12.75" customHeight="1">
      <c r="A26" s="25" t="s">
        <v>42</v>
      </c>
      <c r="B26" s="28">
        <v>2076552.0</v>
      </c>
      <c r="C26" s="26">
        <f t="shared" si="1"/>
        <v>6808.367213</v>
      </c>
      <c r="D26" s="28">
        <v>2086884.0</v>
      </c>
      <c r="E26" s="26">
        <f t="shared" si="2"/>
        <v>6864.75</v>
      </c>
      <c r="F26" s="27">
        <f t="shared" si="3"/>
        <v>0.008281396276</v>
      </c>
      <c r="G26" s="28">
        <v>2103658.0</v>
      </c>
      <c r="H26" s="26">
        <f t="shared" si="4"/>
        <v>6919.927632</v>
      </c>
      <c r="I26" s="27">
        <f t="shared" si="5"/>
        <v>-0.00797372957</v>
      </c>
    </row>
    <row r="27" ht="12.75" customHeight="1">
      <c r="A27" s="25" t="s">
        <v>43</v>
      </c>
      <c r="B27" s="28">
        <v>3265668.0</v>
      </c>
      <c r="C27" s="26">
        <f t="shared" si="1"/>
        <v>10707.1082</v>
      </c>
      <c r="D27" s="28">
        <v>3364003.0</v>
      </c>
      <c r="E27" s="26">
        <f t="shared" si="2"/>
        <v>11065.79934</v>
      </c>
      <c r="F27" s="27">
        <f t="shared" si="3"/>
        <v>0.03350028213</v>
      </c>
      <c r="G27" s="28">
        <v>3471041.0</v>
      </c>
      <c r="H27" s="26">
        <f t="shared" si="4"/>
        <v>11417.89803</v>
      </c>
      <c r="I27" s="27">
        <f t="shared" si="5"/>
        <v>-0.03083743465</v>
      </c>
    </row>
    <row r="28" ht="12.75" customHeight="1">
      <c r="A28" s="25" t="s">
        <v>44</v>
      </c>
      <c r="B28" s="28">
        <v>3757228.0</v>
      </c>
      <c r="C28" s="26">
        <f t="shared" si="1"/>
        <v>12318.78033</v>
      </c>
      <c r="D28" s="28">
        <v>4056555.0</v>
      </c>
      <c r="E28" s="26">
        <f t="shared" si="2"/>
        <v>13343.93092</v>
      </c>
      <c r="F28" s="27">
        <f t="shared" si="3"/>
        <v>0.083218514</v>
      </c>
      <c r="G28" s="28">
        <v>3920433.0</v>
      </c>
      <c r="H28" s="26">
        <f t="shared" si="4"/>
        <v>12896.16118</v>
      </c>
      <c r="I28" s="27">
        <f t="shared" si="5"/>
        <v>0.03472116473</v>
      </c>
    </row>
    <row r="29" ht="12.75" customHeight="1">
      <c r="A29" s="25" t="s">
        <v>45</v>
      </c>
      <c r="B29" s="28">
        <v>5337307.0</v>
      </c>
      <c r="C29" s="26">
        <f t="shared" si="1"/>
        <v>17499.36721</v>
      </c>
      <c r="D29" s="28">
        <v>5822246.0</v>
      </c>
      <c r="E29" s="26">
        <f t="shared" si="2"/>
        <v>19152.125</v>
      </c>
      <c r="F29" s="27">
        <f t="shared" si="3"/>
        <v>0.09444671723</v>
      </c>
      <c r="G29" s="28">
        <v>5677658.0</v>
      </c>
      <c r="H29" s="26">
        <f t="shared" si="4"/>
        <v>18676.50658</v>
      </c>
      <c r="I29" s="27">
        <f t="shared" si="5"/>
        <v>0.0254661341</v>
      </c>
    </row>
    <row r="30" ht="12.75" customHeight="1">
      <c r="A30" s="25" t="s">
        <v>46</v>
      </c>
      <c r="B30" s="28">
        <v>1057320.0</v>
      </c>
      <c r="C30" s="26">
        <f t="shared" si="1"/>
        <v>3466.622951</v>
      </c>
      <c r="D30" s="28">
        <v>1020997.0</v>
      </c>
      <c r="E30" s="26">
        <f t="shared" si="2"/>
        <v>3358.542763</v>
      </c>
      <c r="F30" s="27">
        <f t="shared" si="3"/>
        <v>-0.03117737037</v>
      </c>
      <c r="G30" s="28">
        <v>1098397.0</v>
      </c>
      <c r="H30" s="26">
        <f t="shared" si="4"/>
        <v>3613.148026</v>
      </c>
      <c r="I30" s="27">
        <f t="shared" si="5"/>
        <v>-0.07046632502</v>
      </c>
    </row>
    <row r="31" ht="12.75" customHeight="1">
      <c r="A31" s="25" t="s">
        <v>47</v>
      </c>
      <c r="B31" s="28">
        <v>625391.0</v>
      </c>
      <c r="C31" s="26">
        <f t="shared" si="1"/>
        <v>2050.462295</v>
      </c>
      <c r="D31" s="28">
        <v>691744.0</v>
      </c>
      <c r="E31" s="26">
        <f t="shared" si="2"/>
        <v>2275.473684</v>
      </c>
      <c r="F31" s="27">
        <f t="shared" si="3"/>
        <v>0.1097369065</v>
      </c>
      <c r="G31" s="28">
        <v>647679.0</v>
      </c>
      <c r="H31" s="26">
        <f t="shared" si="4"/>
        <v>2130.523026</v>
      </c>
      <c r="I31" s="27">
        <f t="shared" si="5"/>
        <v>0.06803524585</v>
      </c>
    </row>
    <row r="32" ht="12.75" customHeight="1">
      <c r="A32" s="25" t="s">
        <v>48</v>
      </c>
      <c r="B32" s="28">
        <v>1731388.0</v>
      </c>
      <c r="C32" s="26">
        <f t="shared" si="1"/>
        <v>5676.681967</v>
      </c>
      <c r="D32" s="28">
        <v>1905862.0</v>
      </c>
      <c r="E32" s="26">
        <f t="shared" si="2"/>
        <v>6269.282895</v>
      </c>
      <c r="F32" s="27">
        <f t="shared" si="3"/>
        <v>0.104392131</v>
      </c>
      <c r="G32" s="28">
        <v>1800112.0</v>
      </c>
      <c r="H32" s="26">
        <f t="shared" si="4"/>
        <v>5921.421053</v>
      </c>
      <c r="I32" s="27">
        <f t="shared" si="5"/>
        <v>0.05874634467</v>
      </c>
    </row>
    <row r="33" ht="12.75" customHeight="1">
      <c r="A33" s="25" t="s">
        <v>49</v>
      </c>
      <c r="B33" s="28">
        <v>1.1353919E7</v>
      </c>
      <c r="C33" s="26">
        <f t="shared" si="1"/>
        <v>37225.96393</v>
      </c>
      <c r="D33" s="28">
        <v>1.1993534E7</v>
      </c>
      <c r="E33" s="26">
        <f t="shared" si="2"/>
        <v>39452.41447</v>
      </c>
      <c r="F33" s="27">
        <f t="shared" si="3"/>
        <v>0.05980907689</v>
      </c>
      <c r="G33" s="28">
        <v>1.1542572E7</v>
      </c>
      <c r="H33" s="26">
        <f t="shared" si="4"/>
        <v>37968.98684</v>
      </c>
      <c r="I33" s="27">
        <f t="shared" si="5"/>
        <v>0.03906945523</v>
      </c>
    </row>
    <row r="34" ht="12.75" customHeight="1">
      <c r="A34" s="25" t="s">
        <v>50</v>
      </c>
      <c r="B34" s="28">
        <v>2425748.0</v>
      </c>
      <c r="C34" s="26">
        <f t="shared" si="1"/>
        <v>7953.272131</v>
      </c>
      <c r="D34" s="28">
        <v>2411200.0</v>
      </c>
      <c r="E34" s="26">
        <f t="shared" si="2"/>
        <v>7931.578947</v>
      </c>
      <c r="F34" s="27">
        <f t="shared" si="3"/>
        <v>-0.002727579721</v>
      </c>
      <c r="G34" s="28">
        <v>2570494.0</v>
      </c>
      <c r="H34" s="26">
        <f t="shared" si="4"/>
        <v>8455.572368</v>
      </c>
      <c r="I34" s="27">
        <f t="shared" si="5"/>
        <v>-0.06197018939</v>
      </c>
    </row>
    <row r="35" ht="12.75" customHeight="1">
      <c r="A35" s="25" t="s">
        <v>51</v>
      </c>
      <c r="B35" s="28">
        <v>1587682.0</v>
      </c>
      <c r="C35" s="26">
        <f t="shared" si="1"/>
        <v>5205.514754</v>
      </c>
      <c r="D35" s="28">
        <v>1515429.0</v>
      </c>
      <c r="E35" s="26">
        <f t="shared" si="2"/>
        <v>4984.963816</v>
      </c>
      <c r="F35" s="27">
        <f t="shared" si="3"/>
        <v>-0.04236870871</v>
      </c>
      <c r="G35" s="28">
        <v>1670765.0</v>
      </c>
      <c r="H35" s="26">
        <f t="shared" si="4"/>
        <v>5495.9375</v>
      </c>
      <c r="I35" s="27">
        <f t="shared" si="5"/>
        <v>-0.09297297944</v>
      </c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0.63"/>
    <col customWidth="1" min="2" max="2" width="15.88"/>
    <col customWidth="1" min="3" max="3" width="7.0"/>
    <col customWidth="1" min="4" max="4" width="46.38"/>
  </cols>
  <sheetData>
    <row r="1" ht="12.0" customHeight="1">
      <c r="A1" s="30" t="s">
        <v>52</v>
      </c>
      <c r="B1" s="31" t="s">
        <v>53</v>
      </c>
      <c r="C1" s="31" t="s">
        <v>54</v>
      </c>
      <c r="D1" s="30" t="s">
        <v>55</v>
      </c>
    </row>
    <row r="2" ht="12.75" customHeight="1">
      <c r="A2" s="32"/>
      <c r="B2" s="33"/>
      <c r="C2" s="34"/>
      <c r="D2" s="35"/>
    </row>
    <row r="3" ht="12.0" customHeight="1">
      <c r="A3" s="32"/>
      <c r="B3" s="33"/>
      <c r="C3" s="34"/>
      <c r="D3" s="35" t="s">
        <v>56</v>
      </c>
    </row>
    <row r="4" ht="12.0" customHeight="1">
      <c r="A4" s="32"/>
      <c r="B4" s="33"/>
      <c r="C4" s="34"/>
      <c r="D4" s="35"/>
    </row>
    <row r="5" ht="15.75" customHeight="1">
      <c r="A5" s="36"/>
      <c r="B5" s="37"/>
      <c r="C5" s="38"/>
      <c r="D5" s="39"/>
    </row>
  </sheetData>
  <drawing r:id="rId1"/>
</worksheet>
</file>