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xOut_APT" sheetId="1" r:id="rId3"/>
    <sheet state="visible" name="Change Log" sheetId="2" r:id="rId4"/>
  </sheets>
  <definedNames/>
  <calcPr/>
</workbook>
</file>

<file path=xl/sharedStrings.xml><?xml version="1.0" encoding="utf-8"?>
<sst xmlns="http://schemas.openxmlformats.org/spreadsheetml/2006/main" count="168" uniqueCount="126">
  <si>
    <t>Data source</t>
  </si>
  <si>
    <t>EUROCONTROL</t>
  </si>
  <si>
    <t>Period Start</t>
  </si>
  <si>
    <t>Meta data</t>
  </si>
  <si>
    <t xml:space="preserve">  </t>
  </si>
  <si>
    <t>Release date</t>
  </si>
  <si>
    <t>Period End</t>
  </si>
  <si>
    <t>Contact</t>
  </si>
  <si>
    <t>pru-support@eurocontrol.int</t>
  </si>
  <si>
    <t xml:space="preserve"> </t>
  </si>
  <si>
    <t>TAXI ADDITIONAL TIME</t>
  </si>
  <si>
    <t>Period: JAN-SEP</t>
  </si>
  <si>
    <t>Airport Name</t>
  </si>
  <si>
    <t>ICAO</t>
  </si>
  <si>
    <t>State</t>
  </si>
  <si>
    <t>Departures</t>
  </si>
  <si>
    <t>Avg. add. taxi-out time [min/dep]</t>
  </si>
  <si>
    <t>Add. taxi-out time [total]</t>
  </si>
  <si>
    <t>Avg. unimp. taxi-out time [min/dep]</t>
  </si>
  <si>
    <t>Arrivals</t>
  </si>
  <si>
    <t>Avg. add. taxi-IN time [min/arr]</t>
  </si>
  <si>
    <t>Add. taxi-IN time [total]</t>
  </si>
  <si>
    <t>Avg. unimp. taxi-IN time [min/arr]</t>
  </si>
  <si>
    <t>Brussels (EBBR)</t>
  </si>
  <si>
    <t>EBBR</t>
  </si>
  <si>
    <t>Belgium</t>
  </si>
  <si>
    <t>Berlin - Brandenburg (EDDB)</t>
  </si>
  <si>
    <t>EDDB</t>
  </si>
  <si>
    <t>Germany</t>
  </si>
  <si>
    <t>Frankfurt (EDDF)</t>
  </si>
  <si>
    <t>EDDF</t>
  </si>
  <si>
    <t>Hamburg (EDDH)</t>
  </si>
  <si>
    <t>EDDH</t>
  </si>
  <si>
    <t>Cologne-Bonn (EDDK)</t>
  </si>
  <si>
    <t>EDDK</t>
  </si>
  <si>
    <t>Dusseldorf (EDDL)</t>
  </si>
  <si>
    <t>EDDL</t>
  </si>
  <si>
    <t>Munich (EDDM)</t>
  </si>
  <si>
    <t>EDDM</t>
  </si>
  <si>
    <t>Helsinki - Vantaa (EFHK)</t>
  </si>
  <si>
    <t>EFHK</t>
  </si>
  <si>
    <t>Finland</t>
  </si>
  <si>
    <t>Amsterdam - Schiphol (EHAM)</t>
  </si>
  <si>
    <t>EHAM</t>
  </si>
  <si>
    <t>Netherlands</t>
  </si>
  <si>
    <t>Dublin (EIDW)</t>
  </si>
  <si>
    <t>EIDW</t>
  </si>
  <si>
    <t>Ireland</t>
  </si>
  <si>
    <t>Copenhagen - Kastrup (EKCH)</t>
  </si>
  <si>
    <t>EKCH</t>
  </si>
  <si>
    <t>Denmark</t>
  </si>
  <si>
    <t>Bergen (ENBR)</t>
  </si>
  <si>
    <t>ENBR</t>
  </si>
  <si>
    <t>Norway</t>
  </si>
  <si>
    <t>N/A</t>
  </si>
  <si>
    <t>Oslo - Gardermoen (ENGM)</t>
  </si>
  <si>
    <t>ENGM</t>
  </si>
  <si>
    <t>Warszawa - Chopina (EPWA)</t>
  </si>
  <si>
    <t>EPWA</t>
  </si>
  <si>
    <t>Poland</t>
  </si>
  <si>
    <t>Stockholm - Arlanda (ESSA)</t>
  </si>
  <si>
    <t>ESSA</t>
  </si>
  <si>
    <t>Sweden</t>
  </si>
  <si>
    <t>Gran Canaria (GCLP)</t>
  </si>
  <si>
    <t>GCLP</t>
  </si>
  <si>
    <t>Spain</t>
  </si>
  <si>
    <t>Alicante (LEAL)</t>
  </si>
  <si>
    <t>LEAL</t>
  </si>
  <si>
    <t>Barcelona (LEBL)</t>
  </si>
  <si>
    <t>LEBL</t>
  </si>
  <si>
    <t>Madrid - Barajas (LEMD)</t>
  </si>
  <si>
    <t>LEMD</t>
  </si>
  <si>
    <t>Málaga (LEMG)</t>
  </si>
  <si>
    <t>LEMG</t>
  </si>
  <si>
    <t>Palma de Mallorca (LEPA)</t>
  </si>
  <si>
    <t>LEPA</t>
  </si>
  <si>
    <t>Marseille-Provence (LFML)</t>
  </si>
  <si>
    <t>LFML</t>
  </si>
  <si>
    <t>France</t>
  </si>
  <si>
    <t>Nice-Côte d’Azur (LFMN)</t>
  </si>
  <si>
    <t>LFMN</t>
  </si>
  <si>
    <t>Paris-Charles-de-Gaulle (LFPG)</t>
  </si>
  <si>
    <t>LFPG</t>
  </si>
  <si>
    <t>Paris-Orly (LFPO)</t>
  </si>
  <si>
    <t>LFPO</t>
  </si>
  <si>
    <t>Athens (LGAV)</t>
  </si>
  <si>
    <t>LGAV</t>
  </si>
  <si>
    <t>Greece</t>
  </si>
  <si>
    <t>Budapest - Ferihegy (LHBP)</t>
  </si>
  <si>
    <t>LHBP</t>
  </si>
  <si>
    <t>Hungary</t>
  </si>
  <si>
    <t>Milan - Malpensa (LIMC)</t>
  </si>
  <si>
    <t>LIMC</t>
  </si>
  <si>
    <t>Italy</t>
  </si>
  <si>
    <t>Bergamo (LIME)</t>
  </si>
  <si>
    <t>LIME</t>
  </si>
  <si>
    <t>Milan - Linate (LIML)</t>
  </si>
  <si>
    <t>LIML</t>
  </si>
  <si>
    <t>Rome - Fiumicino (LIRF)</t>
  </si>
  <si>
    <t>LIRF</t>
  </si>
  <si>
    <t>Prague (LKPR)</t>
  </si>
  <si>
    <t>LKPR</t>
  </si>
  <si>
    <t>Czech Republic</t>
  </si>
  <si>
    <t>Vienna (LOWW)</t>
  </si>
  <si>
    <t>LOWW</t>
  </si>
  <si>
    <t>Austria</t>
  </si>
  <si>
    <t>Porto (LPPR)</t>
  </si>
  <si>
    <t>LPPR</t>
  </si>
  <si>
    <t>Portugal</t>
  </si>
  <si>
    <t>Lisbon (LPPT)</t>
  </si>
  <si>
    <t>LPPT</t>
  </si>
  <si>
    <t>Bucharest - Otopeni (LROP)</t>
  </si>
  <si>
    <t>LROP</t>
  </si>
  <si>
    <t>Romania</t>
  </si>
  <si>
    <t>Geneva (LSGG)</t>
  </si>
  <si>
    <t>LSGG</t>
  </si>
  <si>
    <t>Switzerland</t>
  </si>
  <si>
    <t>Zürich (LSZH)</t>
  </si>
  <si>
    <t>LSZH</t>
  </si>
  <si>
    <t>Change date</t>
  </si>
  <si>
    <t>Entity</t>
  </si>
  <si>
    <t>Period</t>
  </si>
  <si>
    <t>Comment</t>
  </si>
  <si>
    <t>EDDS</t>
  </si>
  <si>
    <t>Stuttgart airport data added</t>
  </si>
  <si>
    <t xml:space="preserve">   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</si>
</sst>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&quot; &quot;mmm&quot; &quot;yyyy"/>
    <numFmt numFmtId="165" formatCode="m/d/yyyy"/>
    <numFmt numFmtId="166" formatCode="d mmm yyyy"/>
    <numFmt numFmtId="167" formatCode="dd-mm-yyyy"/>
  </numFmts>
  <fonts count="14">
    <font>
      <sz val="10.0"/>
      <color rgb="FF000000"/>
      <name val="Arial"/>
    </font>
    <font>
      <b/>
      <sz val="9.0"/>
      <color rgb="FF396EA2"/>
      <name val="Calibri"/>
    </font>
    <font>
      <sz val="9.0"/>
      <color rgb="FF396EA2"/>
      <name val="Calibri"/>
    </font>
    <font>
      <u/>
      <sz val="9.0"/>
      <color rgb="FF396EA2"/>
      <name val="Calibri"/>
    </font>
    <font>
      <sz val="9.0"/>
      <color rgb="FFC00000"/>
      <name val="Calibri"/>
    </font>
    <font>
      <u/>
      <sz val="9.0"/>
      <color rgb="FF396EA2"/>
      <name val="Calibri"/>
    </font>
    <font>
      <b/>
      <sz val="9.0"/>
      <color rgb="FF980000"/>
      <name val="Calibri"/>
    </font>
    <font>
      <sz val="9.0"/>
      <color rgb="FF000000"/>
      <name val="Calibri"/>
    </font>
    <font>
      <sz val="9.0"/>
      <color rgb="FFFF0000"/>
      <name val="Calibri"/>
    </font>
    <font>
      <b/>
      <sz val="8.0"/>
      <color rgb="FFC00000"/>
      <name val="Calibri"/>
    </font>
    <font>
      <sz val="8.0"/>
      <color rgb="FFC00000"/>
      <name val="Calibri"/>
    </font>
    <font>
      <name val="Calibri"/>
    </font>
    <font>
      <sz val="9.0"/>
      <color rgb="FFF3F3F3"/>
      <name val="Calibri"/>
    </font>
    <font>
      <sz val="9.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</fills>
  <borders count="5">
    <border/>
    <border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wrapText="0"/>
    </xf>
    <xf borderId="0" fillId="2" fontId="2" numFmtId="49" xfId="0" applyAlignment="1" applyFont="1" applyNumberFormat="1">
      <alignment vertical="bottom"/>
    </xf>
    <xf borderId="0" fillId="2" fontId="1" numFmtId="0" xfId="0" applyAlignment="1" applyFont="1">
      <alignment vertical="bottom"/>
    </xf>
    <xf borderId="0" fillId="2" fontId="2" numFmtId="164" xfId="0" applyAlignment="1" applyFont="1" applyNumberFormat="1">
      <alignment horizontal="left" readingOrder="0" vertical="bottom"/>
    </xf>
    <xf borderId="0" fillId="2" fontId="3" numFmtId="165" xfId="0" applyAlignment="1" applyFont="1" applyNumberFormat="1">
      <alignment horizontal="left" shrinkToFit="0" wrapText="0"/>
    </xf>
    <xf borderId="0" fillId="2" fontId="2" numFmtId="0" xfId="0" applyAlignment="1" applyFont="1">
      <alignment shrinkToFit="0" wrapText="1"/>
    </xf>
    <xf borderId="0" fillId="2" fontId="2" numFmtId="0" xfId="0" applyAlignment="1" applyFont="1">
      <alignment readingOrder="0" shrinkToFit="0" wrapText="1"/>
    </xf>
    <xf borderId="1" fillId="2" fontId="1" numFmtId="0" xfId="0" applyAlignment="1" applyBorder="1" applyFont="1">
      <alignment shrinkToFit="0" wrapText="0"/>
    </xf>
    <xf borderId="2" fillId="0" fontId="4" numFmtId="166" xfId="0" applyAlignment="1" applyBorder="1" applyFont="1" applyNumberFormat="1">
      <alignment horizontal="left" readingOrder="0" vertical="bottom"/>
    </xf>
    <xf borderId="1" fillId="2" fontId="1" numFmtId="0" xfId="0" applyAlignment="1" applyBorder="1" applyFont="1">
      <alignment vertical="bottom"/>
    </xf>
    <xf borderId="1" fillId="2" fontId="2" numFmtId="164" xfId="0" applyAlignment="1" applyBorder="1" applyFont="1" applyNumberFormat="1">
      <alignment horizontal="left" readingOrder="0" vertical="bottom"/>
    </xf>
    <xf borderId="1" fillId="2" fontId="5" numFmtId="0" xfId="0" applyAlignment="1" applyBorder="1" applyFont="1">
      <alignment horizontal="left" readingOrder="0" shrinkToFit="0" wrapText="0"/>
    </xf>
    <xf borderId="1" fillId="2" fontId="2" numFmtId="0" xfId="0" applyAlignment="1" applyBorder="1" applyFont="1">
      <alignment shrinkToFit="0" wrapText="1"/>
    </xf>
    <xf borderId="0" fillId="3" fontId="6" numFmtId="0" xfId="0" applyAlignment="1" applyFill="1" applyFont="1">
      <alignment readingOrder="0" shrinkToFit="0" vertical="center" wrapText="0"/>
    </xf>
    <xf borderId="0" fillId="3" fontId="7" numFmtId="0" xfId="0" applyAlignment="1" applyFont="1">
      <alignment shrinkToFit="0" vertical="center" wrapText="0"/>
    </xf>
    <xf borderId="0" fillId="3" fontId="7" numFmtId="0" xfId="0" applyAlignment="1" applyFont="1">
      <alignment readingOrder="0" shrinkToFit="0" vertical="center" wrapText="0"/>
    </xf>
    <xf borderId="0" fillId="3" fontId="8" numFmtId="0" xfId="0" applyAlignment="1" applyFont="1">
      <alignment horizontal="center" readingOrder="0" shrinkToFit="0" vertical="center" wrapText="0"/>
    </xf>
    <xf borderId="0" fillId="3" fontId="9" numFmtId="0" xfId="0" applyAlignment="1" applyFont="1">
      <alignment readingOrder="0" shrinkToFit="0" vertical="center" wrapText="0"/>
    </xf>
    <xf borderId="0" fillId="3" fontId="10" numFmtId="0" xfId="0" applyAlignment="1" applyFont="1">
      <alignment shrinkToFit="0" vertical="center" wrapText="0"/>
    </xf>
    <xf borderId="0" fillId="3" fontId="10" numFmtId="0" xfId="0" applyAlignment="1" applyFont="1">
      <alignment horizontal="center" readingOrder="0" shrinkToFit="0" vertical="center" wrapText="0"/>
    </xf>
    <xf borderId="0" fillId="0" fontId="11" numFmtId="0" xfId="0" applyFont="1"/>
    <xf borderId="0" fillId="0" fontId="11" numFmtId="0" xfId="0" applyAlignment="1" applyFont="1">
      <alignment readingOrder="0"/>
    </xf>
    <xf borderId="3" fillId="4" fontId="12" numFmtId="0" xfId="0" applyAlignment="1" applyBorder="1" applyFill="1" applyFont="1">
      <alignment readingOrder="0" shrinkToFit="0" wrapText="0"/>
    </xf>
    <xf borderId="4" fillId="4" fontId="12" numFmtId="0" xfId="0" applyAlignment="1" applyBorder="1" applyFont="1">
      <alignment readingOrder="0" shrinkToFit="0" wrapText="0"/>
    </xf>
    <xf borderId="3" fillId="3" fontId="7" numFmtId="2" xfId="0" applyAlignment="1" applyBorder="1" applyFont="1" applyNumberFormat="1">
      <alignment readingOrder="0"/>
    </xf>
    <xf borderId="3" fillId="3" fontId="7" numFmtId="0" xfId="0" applyAlignment="1" applyBorder="1" applyFont="1">
      <alignment readingOrder="0"/>
    </xf>
    <xf borderId="3" fillId="5" fontId="11" numFmtId="3" xfId="0" applyAlignment="1" applyBorder="1" applyFill="1" applyFont="1" applyNumberFormat="1">
      <alignment horizontal="right" readingOrder="0"/>
    </xf>
    <xf borderId="3" fillId="5" fontId="7" numFmtId="4" xfId="0" applyAlignment="1" applyBorder="1" applyFont="1" applyNumberFormat="1">
      <alignment horizontal="right" readingOrder="0"/>
    </xf>
    <xf borderId="3" fillId="5" fontId="11" numFmtId="4" xfId="0" applyAlignment="1" applyBorder="1" applyFont="1" applyNumberFormat="1">
      <alignment horizontal="right" readingOrder="0"/>
    </xf>
    <xf borderId="3" fillId="6" fontId="11" numFmtId="3" xfId="0" applyAlignment="1" applyBorder="1" applyFill="1" applyFont="1" applyNumberFormat="1">
      <alignment horizontal="right" readingOrder="0"/>
    </xf>
    <xf borderId="3" fillId="6" fontId="7" numFmtId="4" xfId="0" applyAlignment="1" applyBorder="1" applyFont="1" applyNumberFormat="1">
      <alignment horizontal="right" readingOrder="0"/>
    </xf>
    <xf borderId="3" fillId="6" fontId="11" numFmtId="4" xfId="0" applyAlignment="1" applyBorder="1" applyFont="1" applyNumberFormat="1">
      <alignment horizontal="right" readingOrder="0"/>
    </xf>
    <xf borderId="0" fillId="3" fontId="7" numFmtId="0" xfId="0" applyAlignment="1" applyFont="1">
      <alignment readingOrder="0"/>
    </xf>
    <xf borderId="3" fillId="5" fontId="11" numFmtId="3" xfId="0" applyAlignment="1" applyBorder="1" applyFont="1" applyNumberFormat="1">
      <alignment readingOrder="0"/>
    </xf>
    <xf borderId="3" fillId="5" fontId="11" numFmtId="4" xfId="0" applyAlignment="1" applyBorder="1" applyFont="1" applyNumberFormat="1">
      <alignment readingOrder="0"/>
    </xf>
    <xf borderId="3" fillId="6" fontId="11" numFmtId="3" xfId="0" applyAlignment="1" applyBorder="1" applyFont="1" applyNumberFormat="1">
      <alignment readingOrder="0"/>
    </xf>
    <xf borderId="3" fillId="6" fontId="11" numFmtId="4" xfId="0" applyAlignment="1" applyBorder="1" applyFont="1" applyNumberFormat="1">
      <alignment readingOrder="0"/>
    </xf>
    <xf borderId="3" fillId="5" fontId="7" numFmtId="4" xfId="0" applyAlignment="1" applyBorder="1" applyFont="1" applyNumberFormat="1">
      <alignment readingOrder="0"/>
    </xf>
    <xf borderId="0" fillId="4" fontId="12" numFmtId="0" xfId="0" applyAlignment="1" applyFont="1">
      <alignment shrinkToFit="0" wrapText="0"/>
    </xf>
    <xf borderId="0" fillId="4" fontId="12" numFmtId="0" xfId="0" applyAlignment="1" applyFont="1">
      <alignment horizontal="center" shrinkToFit="0" wrapText="0"/>
    </xf>
    <xf borderId="0" fillId="3" fontId="13" numFmtId="167" xfId="0" applyAlignment="1" applyFont="1" applyNumberFormat="1">
      <alignment horizontal="center" readingOrder="0" shrinkToFit="0" vertical="bottom" wrapText="0"/>
    </xf>
    <xf borderId="0" fillId="3" fontId="7" numFmtId="0" xfId="0" applyAlignment="1" applyFont="1">
      <alignment readingOrder="0" vertical="bottom"/>
    </xf>
    <xf borderId="0" fillId="3" fontId="7" numFmtId="0" xfId="0" applyAlignment="1" applyFont="1">
      <alignment horizontal="center" readingOrder="0" shrinkToFit="0" vertical="bottom" wrapText="0"/>
    </xf>
    <xf borderId="0" fillId="0" fontId="13" numFmtId="0" xfId="0" applyAlignment="1" applyFont="1">
      <alignment horizontal="center" readingOrder="0" shrinkToFit="0" wrapText="0"/>
    </xf>
    <xf borderId="0" fillId="0" fontId="13" numFmtId="0" xfId="0" applyAlignment="1" applyFont="1">
      <alignment readingOrder="0" shrinkToFit="0" wrapText="0"/>
    </xf>
    <xf borderId="0" fillId="3" fontId="13" numFmtId="164" xfId="0" applyAlignment="1" applyFont="1" applyNumberFormat="1">
      <alignment horizontal="center" readingOrder="0" shrinkToFit="0" vertical="bottom" wrapText="0"/>
    </xf>
    <xf borderId="0" fillId="3" fontId="7" numFmtId="17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5.13" defaultRowHeight="15.0"/>
  <cols>
    <col customWidth="1" min="1" max="1" width="21.88"/>
    <col customWidth="1" min="2" max="2" width="10.63"/>
    <col customWidth="1" min="3" max="3" width="11.13"/>
    <col customWidth="1" min="4" max="4" width="11.25"/>
    <col customWidth="1" min="5" max="5" width="22.63"/>
    <col customWidth="1" min="6" max="6" width="17.75"/>
    <col customWidth="1" min="7" max="7" width="24.88"/>
    <col customWidth="1" min="8" max="8" width="8.88"/>
    <col customWidth="1" min="9" max="9" width="21.13"/>
    <col customWidth="1" min="10" max="10" width="16.75"/>
    <col customWidth="1" min="11" max="11" width="24.88"/>
  </cols>
  <sheetData>
    <row r="1" ht="12.75" customHeight="1">
      <c r="A1" s="1" t="s">
        <v>0</v>
      </c>
      <c r="B1" s="2" t="s">
        <v>1</v>
      </c>
      <c r="C1" s="3" t="s">
        <v>2</v>
      </c>
      <c r="D1" s="4">
        <v>45658.0</v>
      </c>
      <c r="E1" s="1" t="s">
        <v>3</v>
      </c>
      <c r="F1" s="5" t="str">
        <f>HYPERLINK("https://www.eurocontrol.int/prudata/dashboard/metadata/additional-taxi-out-time/","Taxi out additional time")</f>
        <v>Taxi out additional time</v>
      </c>
      <c r="G1" s="6"/>
      <c r="H1" s="6"/>
      <c r="I1" s="7" t="s">
        <v>4</v>
      </c>
      <c r="J1" s="7" t="s">
        <v>4</v>
      </c>
      <c r="K1" s="6"/>
    </row>
    <row r="2" ht="12.75" customHeight="1">
      <c r="A2" s="8" t="s">
        <v>5</v>
      </c>
      <c r="B2" s="9">
        <v>45979.0</v>
      </c>
      <c r="C2" s="10" t="s">
        <v>6</v>
      </c>
      <c r="D2" s="11">
        <v>45930.0</v>
      </c>
      <c r="E2" s="8" t="s">
        <v>7</v>
      </c>
      <c r="F2" s="12" t="s">
        <v>8</v>
      </c>
      <c r="G2" s="13"/>
      <c r="H2" s="6"/>
      <c r="I2" s="7" t="s">
        <v>9</v>
      </c>
      <c r="J2" s="6"/>
      <c r="K2" s="6"/>
    </row>
    <row r="3" ht="12.75" customHeight="1">
      <c r="A3" s="14" t="s">
        <v>10</v>
      </c>
      <c r="B3" s="15"/>
      <c r="C3" s="15"/>
      <c r="D3" s="15"/>
      <c r="E3" s="16" t="s">
        <v>9</v>
      </c>
      <c r="F3" s="16" t="s">
        <v>4</v>
      </c>
      <c r="G3" s="17" t="s">
        <v>4</v>
      </c>
      <c r="H3" s="17"/>
      <c r="I3" s="17" t="s">
        <v>9</v>
      </c>
      <c r="J3" s="17" t="s">
        <v>9</v>
      </c>
      <c r="K3" s="17"/>
    </row>
    <row r="4" ht="12.75" customHeight="1">
      <c r="A4" s="18" t="s">
        <v>11</v>
      </c>
      <c r="B4" s="19"/>
      <c r="C4" s="19"/>
      <c r="D4" s="20"/>
      <c r="E4" s="20" t="s">
        <v>9</v>
      </c>
      <c r="F4" s="21"/>
      <c r="G4" s="22" t="s">
        <v>4</v>
      </c>
      <c r="H4" s="21"/>
      <c r="I4" s="21"/>
      <c r="J4" s="21"/>
      <c r="K4" s="21"/>
    </row>
    <row r="5" ht="12.75" customHeight="1">
      <c r="A5" s="23" t="s">
        <v>12</v>
      </c>
      <c r="B5" s="24" t="s">
        <v>13</v>
      </c>
      <c r="C5" s="24" t="s">
        <v>14</v>
      </c>
      <c r="D5" s="24" t="s">
        <v>15</v>
      </c>
      <c r="E5" s="24" t="s">
        <v>16</v>
      </c>
      <c r="F5" s="24" t="s">
        <v>17</v>
      </c>
      <c r="G5" s="24" t="s">
        <v>18</v>
      </c>
      <c r="H5" s="24" t="s">
        <v>19</v>
      </c>
      <c r="I5" s="24" t="s">
        <v>20</v>
      </c>
      <c r="J5" s="24" t="s">
        <v>21</v>
      </c>
      <c r="K5" s="24" t="s">
        <v>22</v>
      </c>
    </row>
    <row r="6" ht="12.75" customHeight="1">
      <c r="A6" s="25" t="s">
        <v>23</v>
      </c>
      <c r="B6" s="25" t="s">
        <v>24</v>
      </c>
      <c r="C6" s="26" t="s">
        <v>25</v>
      </c>
      <c r="D6" s="27">
        <v>67905.0</v>
      </c>
      <c r="E6" s="28">
        <f t="shared" ref="E6:E16" si="1">F6/D6</f>
        <v>3.064540166</v>
      </c>
      <c r="F6" s="27">
        <v>208097.6</v>
      </c>
      <c r="G6" s="29">
        <v>8.63</v>
      </c>
      <c r="H6" s="30">
        <v>69883.0</v>
      </c>
      <c r="I6" s="31">
        <f t="shared" ref="I6:I16" si="2">J6/H6</f>
        <v>1.291083668</v>
      </c>
      <c r="J6" s="30">
        <v>90224.8</v>
      </c>
      <c r="K6" s="32">
        <v>4.14</v>
      </c>
    </row>
    <row r="7" ht="12.75" customHeight="1">
      <c r="A7" s="25" t="s">
        <v>26</v>
      </c>
      <c r="B7" s="25" t="s">
        <v>27</v>
      </c>
      <c r="C7" s="33" t="s">
        <v>28</v>
      </c>
      <c r="D7" s="27">
        <v>66411.0</v>
      </c>
      <c r="E7" s="28">
        <f t="shared" si="1"/>
        <v>2.508333534</v>
      </c>
      <c r="F7" s="27">
        <v>166580.9383</v>
      </c>
      <c r="G7" s="29">
        <v>7.97</v>
      </c>
      <c r="H7" s="30">
        <v>68266.0</v>
      </c>
      <c r="I7" s="31">
        <f t="shared" si="2"/>
        <v>1.319288567</v>
      </c>
      <c r="J7" s="30">
        <v>90062.55333</v>
      </c>
      <c r="K7" s="32">
        <v>4.1</v>
      </c>
    </row>
    <row r="8" ht="12.75" customHeight="1">
      <c r="A8" s="25" t="s">
        <v>29</v>
      </c>
      <c r="B8" s="25" t="s">
        <v>30</v>
      </c>
      <c r="C8" s="26" t="s">
        <v>28</v>
      </c>
      <c r="D8" s="27">
        <v>167278.0</v>
      </c>
      <c r="E8" s="28">
        <f t="shared" si="1"/>
        <v>3.500033398</v>
      </c>
      <c r="F8" s="27">
        <v>585478.5867</v>
      </c>
      <c r="G8" s="29">
        <v>10.65</v>
      </c>
      <c r="H8" s="30">
        <v>164459.0</v>
      </c>
      <c r="I8" s="31">
        <f t="shared" si="2"/>
        <v>2.399214678</v>
      </c>
      <c r="J8" s="30">
        <v>394572.4467</v>
      </c>
      <c r="K8" s="32">
        <v>7.21</v>
      </c>
    </row>
    <row r="9" ht="12.75" customHeight="1">
      <c r="A9" s="25" t="s">
        <v>31</v>
      </c>
      <c r="B9" s="25" t="s">
        <v>32</v>
      </c>
      <c r="C9" s="26" t="s">
        <v>28</v>
      </c>
      <c r="D9" s="27">
        <v>43472.0</v>
      </c>
      <c r="E9" s="28">
        <f t="shared" si="1"/>
        <v>2.767566671</v>
      </c>
      <c r="F9" s="27">
        <v>120311.6583</v>
      </c>
      <c r="G9" s="28">
        <v>6.73</v>
      </c>
      <c r="H9" s="30">
        <v>43112.0</v>
      </c>
      <c r="I9" s="31">
        <f t="shared" si="2"/>
        <v>1.233467944</v>
      </c>
      <c r="J9" s="30">
        <v>53177.27</v>
      </c>
      <c r="K9" s="32">
        <v>3.72</v>
      </c>
    </row>
    <row r="10" ht="12.75" customHeight="1">
      <c r="A10" s="25" t="s">
        <v>33</v>
      </c>
      <c r="B10" s="25" t="s">
        <v>34</v>
      </c>
      <c r="C10" s="26" t="s">
        <v>28</v>
      </c>
      <c r="D10" s="27">
        <v>36166.0</v>
      </c>
      <c r="E10" s="28">
        <f t="shared" si="1"/>
        <v>2.841945841</v>
      </c>
      <c r="F10" s="27">
        <v>102781.8133</v>
      </c>
      <c r="G10" s="29">
        <v>9.69</v>
      </c>
      <c r="H10" s="30">
        <v>35999.0</v>
      </c>
      <c r="I10" s="31">
        <f t="shared" si="2"/>
        <v>1.682766697</v>
      </c>
      <c r="J10" s="30">
        <v>60577.91833</v>
      </c>
      <c r="K10" s="32">
        <v>4.54</v>
      </c>
    </row>
    <row r="11" ht="12.75" customHeight="1">
      <c r="A11" s="25" t="s">
        <v>35</v>
      </c>
      <c r="B11" s="25" t="s">
        <v>36</v>
      </c>
      <c r="C11" s="26" t="s">
        <v>28</v>
      </c>
      <c r="D11" s="27">
        <v>55987.0</v>
      </c>
      <c r="E11" s="28">
        <f t="shared" si="1"/>
        <v>2.613788321</v>
      </c>
      <c r="F11" s="27">
        <v>146338.1667</v>
      </c>
      <c r="G11" s="29">
        <v>8.75</v>
      </c>
      <c r="H11" s="30">
        <v>53311.0</v>
      </c>
      <c r="I11" s="31">
        <f t="shared" si="2"/>
        <v>0.9700030326</v>
      </c>
      <c r="J11" s="30">
        <v>51711.83167</v>
      </c>
      <c r="K11" s="32">
        <v>3.61</v>
      </c>
    </row>
    <row r="12" ht="12.75" customHeight="1">
      <c r="A12" s="25" t="s">
        <v>37</v>
      </c>
      <c r="B12" s="25" t="s">
        <v>38</v>
      </c>
      <c r="C12" s="26" t="s">
        <v>28</v>
      </c>
      <c r="D12" s="27">
        <v>118455.0</v>
      </c>
      <c r="E12" s="28">
        <f t="shared" si="1"/>
        <v>3.368500274</v>
      </c>
      <c r="F12" s="27">
        <v>399015.7</v>
      </c>
      <c r="G12" s="29">
        <v>9.51</v>
      </c>
      <c r="H12" s="30">
        <v>124497.0</v>
      </c>
      <c r="I12" s="31">
        <f t="shared" si="2"/>
        <v>1.696518792</v>
      </c>
      <c r="J12" s="30">
        <v>211211.5</v>
      </c>
      <c r="K12" s="32">
        <v>4.41</v>
      </c>
    </row>
    <row r="13" ht="12.75" customHeight="1">
      <c r="A13" s="25" t="s">
        <v>39</v>
      </c>
      <c r="B13" s="25" t="s">
        <v>40</v>
      </c>
      <c r="C13" s="26" t="s">
        <v>41</v>
      </c>
      <c r="D13" s="27">
        <v>54276.0</v>
      </c>
      <c r="E13" s="28">
        <f t="shared" si="1"/>
        <v>3.117719771</v>
      </c>
      <c r="F13" s="27">
        <v>169217.3583</v>
      </c>
      <c r="G13" s="29">
        <v>6.02</v>
      </c>
      <c r="H13" s="30">
        <v>51672.0</v>
      </c>
      <c r="I13" s="31">
        <f t="shared" si="2"/>
        <v>1.068961914</v>
      </c>
      <c r="J13" s="30">
        <v>55235.4</v>
      </c>
      <c r="K13" s="32">
        <v>4.24</v>
      </c>
    </row>
    <row r="14" ht="12.75" customHeight="1">
      <c r="A14" s="25" t="s">
        <v>42</v>
      </c>
      <c r="B14" s="25" t="s">
        <v>43</v>
      </c>
      <c r="C14" s="26" t="s">
        <v>44</v>
      </c>
      <c r="D14" s="27">
        <v>174823.0</v>
      </c>
      <c r="E14" s="28">
        <f t="shared" si="1"/>
        <v>3.224287555</v>
      </c>
      <c r="F14" s="27">
        <v>563679.6233</v>
      </c>
      <c r="G14" s="29">
        <v>9.95</v>
      </c>
      <c r="H14" s="30">
        <v>170487.0</v>
      </c>
      <c r="I14" s="31">
        <f t="shared" si="2"/>
        <v>1.803526593</v>
      </c>
      <c r="J14" s="30">
        <v>307477.8383</v>
      </c>
      <c r="K14" s="32">
        <v>6.41</v>
      </c>
    </row>
    <row r="15" ht="12.75" customHeight="1">
      <c r="A15" s="26" t="s">
        <v>45</v>
      </c>
      <c r="B15" s="26" t="s">
        <v>46</v>
      </c>
      <c r="C15" s="26" t="s">
        <v>47</v>
      </c>
      <c r="D15" s="27">
        <v>91655.0</v>
      </c>
      <c r="E15" s="28">
        <f t="shared" si="1"/>
        <v>4.22197276</v>
      </c>
      <c r="F15" s="27">
        <v>386964.9133</v>
      </c>
      <c r="G15" s="29">
        <v>10.28</v>
      </c>
      <c r="H15" s="30">
        <v>90299.0</v>
      </c>
      <c r="I15" s="31">
        <f t="shared" si="2"/>
        <v>2.050494007</v>
      </c>
      <c r="J15" s="30">
        <v>185157.5583</v>
      </c>
      <c r="K15" s="32">
        <v>5.04</v>
      </c>
    </row>
    <row r="16" ht="12.75" customHeight="1">
      <c r="A16" s="25" t="s">
        <v>48</v>
      </c>
      <c r="B16" s="25" t="s">
        <v>49</v>
      </c>
      <c r="C16" s="26" t="s">
        <v>50</v>
      </c>
      <c r="D16" s="27">
        <v>87749.0</v>
      </c>
      <c r="E16" s="28">
        <f t="shared" si="1"/>
        <v>3.361618936</v>
      </c>
      <c r="F16" s="27">
        <v>294978.7</v>
      </c>
      <c r="G16" s="28">
        <v>8.96</v>
      </c>
      <c r="H16" s="30">
        <v>89280.0</v>
      </c>
      <c r="I16" s="31">
        <f t="shared" si="2"/>
        <v>1.462768836</v>
      </c>
      <c r="J16" s="30">
        <v>130596.0017</v>
      </c>
      <c r="K16" s="32">
        <v>4.31</v>
      </c>
    </row>
    <row r="17" ht="12.75" customHeight="1">
      <c r="A17" s="25" t="s">
        <v>51</v>
      </c>
      <c r="B17" s="25" t="s">
        <v>52</v>
      </c>
      <c r="C17" s="26" t="s">
        <v>53</v>
      </c>
      <c r="D17" s="29" t="s">
        <v>54</v>
      </c>
      <c r="E17" s="29" t="s">
        <v>54</v>
      </c>
      <c r="F17" s="29" t="s">
        <v>54</v>
      </c>
      <c r="G17" s="29" t="s">
        <v>54</v>
      </c>
      <c r="H17" s="32" t="s">
        <v>54</v>
      </c>
      <c r="I17" s="32" t="s">
        <v>54</v>
      </c>
      <c r="J17" s="32" t="s">
        <v>54</v>
      </c>
      <c r="K17" s="32" t="s">
        <v>54</v>
      </c>
    </row>
    <row r="18" ht="12.75" customHeight="1">
      <c r="A18" s="25" t="s">
        <v>55</v>
      </c>
      <c r="B18" s="25" t="s">
        <v>56</v>
      </c>
      <c r="C18" s="26" t="s">
        <v>53</v>
      </c>
      <c r="D18" s="27">
        <v>78232.0</v>
      </c>
      <c r="E18" s="28">
        <f t="shared" ref="E18:E26" si="3">F18/D18</f>
        <v>4.314131046</v>
      </c>
      <c r="F18" s="27">
        <v>337503.1</v>
      </c>
      <c r="G18" s="29">
        <v>8.38</v>
      </c>
      <c r="H18" s="30">
        <v>78541.0</v>
      </c>
      <c r="I18" s="31">
        <f t="shared" ref="I18:I26" si="4">J18/H18</f>
        <v>1.114906864</v>
      </c>
      <c r="J18" s="30">
        <v>87565.9</v>
      </c>
      <c r="K18" s="32">
        <v>2.72</v>
      </c>
    </row>
    <row r="19" ht="12.75" customHeight="1">
      <c r="A19" s="25" t="s">
        <v>57</v>
      </c>
      <c r="B19" s="25" t="s">
        <v>58</v>
      </c>
      <c r="C19" s="26" t="s">
        <v>59</v>
      </c>
      <c r="D19" s="27">
        <v>67281.0</v>
      </c>
      <c r="E19" s="28">
        <f t="shared" si="3"/>
        <v>3.044441224</v>
      </c>
      <c r="F19" s="27">
        <v>204833.05</v>
      </c>
      <c r="G19" s="29">
        <v>7.15</v>
      </c>
      <c r="H19" s="30">
        <v>70111.0</v>
      </c>
      <c r="I19" s="31">
        <f t="shared" si="4"/>
        <v>1.345262084</v>
      </c>
      <c r="J19" s="30">
        <v>94317.67</v>
      </c>
      <c r="K19" s="32">
        <v>2.93</v>
      </c>
    </row>
    <row r="20" ht="12.75" customHeight="1">
      <c r="A20" s="25" t="s">
        <v>60</v>
      </c>
      <c r="B20" s="25" t="s">
        <v>61</v>
      </c>
      <c r="C20" s="26" t="s">
        <v>62</v>
      </c>
      <c r="D20" s="27">
        <v>71277.0</v>
      </c>
      <c r="E20" s="28">
        <f t="shared" si="3"/>
        <v>2.663902802</v>
      </c>
      <c r="F20" s="27">
        <v>189875.0</v>
      </c>
      <c r="G20" s="29">
        <v>7.6</v>
      </c>
      <c r="H20" s="30">
        <v>71485.0</v>
      </c>
      <c r="I20" s="31">
        <f t="shared" si="4"/>
        <v>1.22356998</v>
      </c>
      <c r="J20" s="30">
        <v>87466.9</v>
      </c>
      <c r="K20" s="32">
        <v>4.19</v>
      </c>
    </row>
    <row r="21" ht="12.75" customHeight="1">
      <c r="A21" s="25" t="s">
        <v>63</v>
      </c>
      <c r="B21" s="25" t="s">
        <v>64</v>
      </c>
      <c r="C21" s="26" t="s">
        <v>65</v>
      </c>
      <c r="D21" s="27">
        <v>47673.0</v>
      </c>
      <c r="E21" s="28">
        <f t="shared" si="3"/>
        <v>2.899457171</v>
      </c>
      <c r="F21" s="27">
        <v>138225.8217</v>
      </c>
      <c r="G21" s="29">
        <v>7.43</v>
      </c>
      <c r="H21" s="30">
        <v>48719.0</v>
      </c>
      <c r="I21" s="31">
        <f t="shared" si="4"/>
        <v>1.115423175</v>
      </c>
      <c r="J21" s="30">
        <v>54342.30167</v>
      </c>
      <c r="K21" s="32">
        <v>1.55</v>
      </c>
    </row>
    <row r="22" ht="12.75" customHeight="1">
      <c r="A22" s="25" t="s">
        <v>66</v>
      </c>
      <c r="B22" s="25" t="s">
        <v>67</v>
      </c>
      <c r="C22" s="26" t="s">
        <v>65</v>
      </c>
      <c r="D22" s="27">
        <v>46307.0</v>
      </c>
      <c r="E22" s="28">
        <f t="shared" si="3"/>
        <v>3.247949085</v>
      </c>
      <c r="F22" s="27">
        <v>150402.7783</v>
      </c>
      <c r="G22" s="29">
        <v>7.92</v>
      </c>
      <c r="H22" s="30">
        <v>46182.0</v>
      </c>
      <c r="I22" s="31">
        <f t="shared" si="4"/>
        <v>1.302214716</v>
      </c>
      <c r="J22" s="30">
        <v>60138.88</v>
      </c>
      <c r="K22" s="32">
        <v>2.51</v>
      </c>
    </row>
    <row r="23" ht="12.75" customHeight="1">
      <c r="A23" s="25" t="s">
        <v>68</v>
      </c>
      <c r="B23" s="25" t="s">
        <v>69</v>
      </c>
      <c r="C23" s="26" t="s">
        <v>65</v>
      </c>
      <c r="D23" s="27">
        <v>130223.0</v>
      </c>
      <c r="E23" s="28">
        <f t="shared" si="3"/>
        <v>3.889928943</v>
      </c>
      <c r="F23" s="27">
        <v>506558.2167</v>
      </c>
      <c r="G23" s="28">
        <v>12.01</v>
      </c>
      <c r="H23" s="30">
        <v>123482.0</v>
      </c>
      <c r="I23" s="31">
        <f t="shared" si="4"/>
        <v>1.132399095</v>
      </c>
      <c r="J23" s="30">
        <v>139830.905</v>
      </c>
      <c r="K23" s="32">
        <v>2.69</v>
      </c>
    </row>
    <row r="24" ht="12.75" customHeight="1">
      <c r="A24" s="25" t="s">
        <v>70</v>
      </c>
      <c r="B24" s="25" t="s">
        <v>71</v>
      </c>
      <c r="C24" s="26" t="s">
        <v>65</v>
      </c>
      <c r="D24" s="27">
        <v>138915.0</v>
      </c>
      <c r="E24" s="28">
        <f t="shared" si="3"/>
        <v>3.708265462</v>
      </c>
      <c r="F24" s="27">
        <v>515133.6967</v>
      </c>
      <c r="G24" s="29">
        <v>13.13</v>
      </c>
      <c r="H24" s="30">
        <v>139662.0</v>
      </c>
      <c r="I24" s="31">
        <f t="shared" si="4"/>
        <v>2.311242476</v>
      </c>
      <c r="J24" s="30">
        <v>322792.7467</v>
      </c>
      <c r="K24" s="32">
        <v>6.36</v>
      </c>
    </row>
    <row r="25" ht="12.75" customHeight="1">
      <c r="A25" s="25" t="s">
        <v>72</v>
      </c>
      <c r="B25" s="25" t="s">
        <v>73</v>
      </c>
      <c r="C25" s="26" t="s">
        <v>65</v>
      </c>
      <c r="D25" s="27">
        <v>65277.0</v>
      </c>
      <c r="E25" s="28">
        <f t="shared" si="3"/>
        <v>3.523052556</v>
      </c>
      <c r="F25" s="27">
        <v>229974.3017</v>
      </c>
      <c r="G25" s="29">
        <v>8.82</v>
      </c>
      <c r="H25" s="30">
        <v>65064.0</v>
      </c>
      <c r="I25" s="31">
        <f t="shared" si="4"/>
        <v>1.512073548</v>
      </c>
      <c r="J25" s="30">
        <v>98381.55333</v>
      </c>
      <c r="K25" s="32">
        <v>3.21</v>
      </c>
    </row>
    <row r="26" ht="12.75" customHeight="1">
      <c r="A26" s="25" t="s">
        <v>74</v>
      </c>
      <c r="B26" s="25" t="s">
        <v>75</v>
      </c>
      <c r="C26" s="26" t="s">
        <v>65</v>
      </c>
      <c r="D26" s="27">
        <v>94630.0</v>
      </c>
      <c r="E26" s="28">
        <f t="shared" si="3"/>
        <v>3.79513264</v>
      </c>
      <c r="F26" s="27">
        <v>359133.4017</v>
      </c>
      <c r="G26" s="29">
        <v>9.17</v>
      </c>
      <c r="H26" s="30">
        <v>93500.0</v>
      </c>
      <c r="I26" s="31">
        <f t="shared" si="4"/>
        <v>1.315844671</v>
      </c>
      <c r="J26" s="30">
        <v>123031.4767</v>
      </c>
      <c r="K26" s="32">
        <v>2.64</v>
      </c>
    </row>
    <row r="27" ht="12.75" customHeight="1">
      <c r="A27" s="25" t="s">
        <v>76</v>
      </c>
      <c r="B27" s="25" t="s">
        <v>77</v>
      </c>
      <c r="C27" s="26" t="s">
        <v>78</v>
      </c>
      <c r="D27" s="29" t="s">
        <v>54</v>
      </c>
      <c r="E27" s="29" t="s">
        <v>54</v>
      </c>
      <c r="F27" s="29" t="s">
        <v>54</v>
      </c>
      <c r="G27" s="29" t="s">
        <v>54</v>
      </c>
      <c r="H27" s="32" t="s">
        <v>54</v>
      </c>
      <c r="I27" s="32" t="s">
        <v>54</v>
      </c>
      <c r="J27" s="32" t="s">
        <v>54</v>
      </c>
      <c r="K27" s="32" t="s">
        <v>54</v>
      </c>
    </row>
    <row r="28" ht="12.75" customHeight="1">
      <c r="A28" s="25" t="s">
        <v>79</v>
      </c>
      <c r="B28" s="25" t="s">
        <v>80</v>
      </c>
      <c r="C28" s="26" t="s">
        <v>78</v>
      </c>
      <c r="D28" s="27">
        <v>58181.0</v>
      </c>
      <c r="E28" s="28">
        <f t="shared" ref="E28:E43" si="5">F28/D28</f>
        <v>3.085304481</v>
      </c>
      <c r="F28" s="27">
        <v>179506.1</v>
      </c>
      <c r="G28" s="29">
        <v>7.97</v>
      </c>
      <c r="H28" s="30">
        <v>55746.0</v>
      </c>
      <c r="I28" s="31">
        <f t="shared" ref="I28:I43" si="6">J28/H28</f>
        <v>1.208108205</v>
      </c>
      <c r="J28" s="30">
        <v>67347.2</v>
      </c>
      <c r="K28" s="32">
        <v>2.94</v>
      </c>
    </row>
    <row r="29" ht="12.75" customHeight="1">
      <c r="A29" s="25" t="s">
        <v>81</v>
      </c>
      <c r="B29" s="25" t="s">
        <v>82</v>
      </c>
      <c r="C29" s="26" t="s">
        <v>78</v>
      </c>
      <c r="D29" s="27">
        <v>151227.0</v>
      </c>
      <c r="E29" s="28">
        <f t="shared" si="5"/>
        <v>4.261952011</v>
      </c>
      <c r="F29" s="27">
        <v>644522.2167</v>
      </c>
      <c r="G29" s="29">
        <v>11.7</v>
      </c>
      <c r="H29" s="30">
        <v>159341.0</v>
      </c>
      <c r="I29" s="31">
        <f t="shared" si="6"/>
        <v>2.291527374</v>
      </c>
      <c r="J29" s="30">
        <v>365134.2633</v>
      </c>
      <c r="K29" s="32">
        <v>7.24</v>
      </c>
    </row>
    <row r="30" ht="12.75" customHeight="1">
      <c r="A30" s="25" t="s">
        <v>83</v>
      </c>
      <c r="B30" s="25" t="s">
        <v>84</v>
      </c>
      <c r="C30" s="26" t="s">
        <v>78</v>
      </c>
      <c r="D30" s="27">
        <v>78404.0</v>
      </c>
      <c r="E30" s="28">
        <f t="shared" si="5"/>
        <v>2.955926994</v>
      </c>
      <c r="F30" s="27">
        <v>231756.5</v>
      </c>
      <c r="G30" s="29">
        <v>8.16</v>
      </c>
      <c r="H30" s="30">
        <v>80369.0</v>
      </c>
      <c r="I30" s="31">
        <f t="shared" si="6"/>
        <v>1.602630367</v>
      </c>
      <c r="J30" s="30">
        <v>128801.8</v>
      </c>
      <c r="K30" s="32">
        <v>4.26</v>
      </c>
    </row>
    <row r="31" ht="12.75" customHeight="1">
      <c r="A31" s="25" t="s">
        <v>85</v>
      </c>
      <c r="B31" s="25" t="s">
        <v>86</v>
      </c>
      <c r="C31" s="26" t="s">
        <v>87</v>
      </c>
      <c r="D31" s="27">
        <v>75921.0</v>
      </c>
      <c r="E31" s="28">
        <f t="shared" si="5"/>
        <v>3.712615745</v>
      </c>
      <c r="F31" s="27">
        <v>281865.5</v>
      </c>
      <c r="G31" s="29">
        <v>8.11</v>
      </c>
      <c r="H31" s="30">
        <v>75673.0</v>
      </c>
      <c r="I31" s="31">
        <f t="shared" si="6"/>
        <v>2.087761817</v>
      </c>
      <c r="J31" s="30">
        <v>157987.2</v>
      </c>
      <c r="K31" s="32">
        <v>3.79</v>
      </c>
    </row>
    <row r="32" ht="12.75" customHeight="1">
      <c r="A32" s="25" t="s">
        <v>88</v>
      </c>
      <c r="B32" s="25" t="s">
        <v>89</v>
      </c>
      <c r="C32" s="26" t="s">
        <v>90</v>
      </c>
      <c r="D32" s="27">
        <v>47883.0</v>
      </c>
      <c r="E32" s="28">
        <f t="shared" si="5"/>
        <v>2.508464242</v>
      </c>
      <c r="F32" s="27">
        <v>120112.7933</v>
      </c>
      <c r="G32" s="29">
        <v>8.5</v>
      </c>
      <c r="H32" s="30">
        <v>47270.0</v>
      </c>
      <c r="I32" s="31">
        <f t="shared" si="6"/>
        <v>1.29076941</v>
      </c>
      <c r="J32" s="30">
        <v>61014.67</v>
      </c>
      <c r="K32" s="32">
        <v>3.72</v>
      </c>
    </row>
    <row r="33" ht="12.75" customHeight="1">
      <c r="A33" s="25" t="s">
        <v>91</v>
      </c>
      <c r="B33" s="25" t="s">
        <v>92</v>
      </c>
      <c r="C33" s="26" t="s">
        <v>93</v>
      </c>
      <c r="D33" s="27">
        <v>76901.0</v>
      </c>
      <c r="E33" s="28">
        <f t="shared" si="5"/>
        <v>4.490980069</v>
      </c>
      <c r="F33" s="27">
        <v>345360.8583</v>
      </c>
      <c r="G33" s="29">
        <v>11.47</v>
      </c>
      <c r="H33" s="30">
        <v>81932.0</v>
      </c>
      <c r="I33" s="31">
        <f t="shared" si="6"/>
        <v>1.953267059</v>
      </c>
      <c r="J33" s="30">
        <v>160035.0767</v>
      </c>
      <c r="K33" s="32">
        <v>4.61</v>
      </c>
    </row>
    <row r="34" ht="12.75" customHeight="1">
      <c r="A34" s="25" t="s">
        <v>94</v>
      </c>
      <c r="B34" s="25" t="s">
        <v>95</v>
      </c>
      <c r="C34" s="26" t="s">
        <v>93</v>
      </c>
      <c r="D34" s="27">
        <v>39162.0</v>
      </c>
      <c r="E34" s="28">
        <f t="shared" si="5"/>
        <v>3.358058833</v>
      </c>
      <c r="F34" s="27">
        <v>131508.3</v>
      </c>
      <c r="G34" s="29">
        <v>9.24</v>
      </c>
      <c r="H34" s="30">
        <v>38980.0</v>
      </c>
      <c r="I34" s="31">
        <f t="shared" si="6"/>
        <v>2.095602873</v>
      </c>
      <c r="J34" s="30">
        <v>81686.6</v>
      </c>
      <c r="K34" s="32">
        <v>3.21</v>
      </c>
    </row>
    <row r="35" ht="12.75" customHeight="1">
      <c r="A35" s="25" t="s">
        <v>96</v>
      </c>
      <c r="B35" s="25" t="s">
        <v>97</v>
      </c>
      <c r="C35" s="26" t="s">
        <v>93</v>
      </c>
      <c r="D35" s="27">
        <v>43438.0</v>
      </c>
      <c r="E35" s="28">
        <f t="shared" si="5"/>
        <v>4.678029221</v>
      </c>
      <c r="F35" s="27">
        <v>203204.2333</v>
      </c>
      <c r="G35" s="28">
        <v>9.14</v>
      </c>
      <c r="H35" s="30">
        <v>43976.0</v>
      </c>
      <c r="I35" s="31">
        <f t="shared" si="6"/>
        <v>1.73065422</v>
      </c>
      <c r="J35" s="30">
        <v>76107.25</v>
      </c>
      <c r="K35" s="32">
        <v>3.05</v>
      </c>
    </row>
    <row r="36" ht="12.75" customHeight="1">
      <c r="A36" s="25" t="s">
        <v>98</v>
      </c>
      <c r="B36" s="25" t="s">
        <v>99</v>
      </c>
      <c r="C36" s="26" t="s">
        <v>93</v>
      </c>
      <c r="D36" s="27">
        <v>119767.0</v>
      </c>
      <c r="E36" s="28">
        <f t="shared" si="5"/>
        <v>6.951343859</v>
      </c>
      <c r="F36" s="27">
        <v>832541.6</v>
      </c>
      <c r="G36" s="29">
        <v>12.33</v>
      </c>
      <c r="H36" s="30">
        <v>119295.0</v>
      </c>
      <c r="I36" s="31">
        <f t="shared" si="6"/>
        <v>3.233011442</v>
      </c>
      <c r="J36" s="30">
        <v>385682.1</v>
      </c>
      <c r="K36" s="32">
        <v>7.41</v>
      </c>
    </row>
    <row r="37" ht="12.75" customHeight="1">
      <c r="A37" s="25" t="s">
        <v>100</v>
      </c>
      <c r="B37" s="25" t="s">
        <v>101</v>
      </c>
      <c r="C37" s="26" t="s">
        <v>102</v>
      </c>
      <c r="D37" s="27">
        <v>46143.0</v>
      </c>
      <c r="E37" s="28">
        <f t="shared" si="5"/>
        <v>2.922306742</v>
      </c>
      <c r="F37" s="27">
        <v>134844.0</v>
      </c>
      <c r="G37" s="29">
        <v>8.63</v>
      </c>
      <c r="H37" s="30">
        <v>49515.0</v>
      </c>
      <c r="I37" s="31">
        <f t="shared" si="6"/>
        <v>1.220432192</v>
      </c>
      <c r="J37" s="30">
        <v>60429.7</v>
      </c>
      <c r="K37" s="32">
        <v>3.83</v>
      </c>
    </row>
    <row r="38" ht="12.75" customHeight="1">
      <c r="A38" s="25" t="s">
        <v>103</v>
      </c>
      <c r="B38" s="25" t="s">
        <v>104</v>
      </c>
      <c r="C38" s="26" t="s">
        <v>105</v>
      </c>
      <c r="D38" s="27">
        <v>89482.0</v>
      </c>
      <c r="E38" s="28">
        <f t="shared" si="5"/>
        <v>2.566996714</v>
      </c>
      <c r="F38" s="27">
        <v>229700.0</v>
      </c>
      <c r="G38" s="29">
        <v>6.96</v>
      </c>
      <c r="H38" s="30">
        <v>93563.0</v>
      </c>
      <c r="I38" s="31">
        <f t="shared" si="6"/>
        <v>1.508686126</v>
      </c>
      <c r="J38" s="30">
        <v>141157.2</v>
      </c>
      <c r="K38" s="32">
        <v>4.33</v>
      </c>
    </row>
    <row r="39" ht="12.75" customHeight="1">
      <c r="A39" s="25" t="s">
        <v>106</v>
      </c>
      <c r="B39" s="25" t="s">
        <v>107</v>
      </c>
      <c r="C39" s="26" t="s">
        <v>108</v>
      </c>
      <c r="D39" s="27">
        <v>42596.0</v>
      </c>
      <c r="E39" s="28">
        <f t="shared" si="5"/>
        <v>3.43248032</v>
      </c>
      <c r="F39" s="27">
        <v>146209.9317</v>
      </c>
      <c r="G39" s="29">
        <v>7.19</v>
      </c>
      <c r="H39" s="30">
        <v>42767.0</v>
      </c>
      <c r="I39" s="31">
        <f t="shared" si="6"/>
        <v>1.647597018</v>
      </c>
      <c r="J39" s="30">
        <v>70462.78167</v>
      </c>
      <c r="K39" s="32">
        <v>4.08</v>
      </c>
    </row>
    <row r="40" ht="12.75" customHeight="1">
      <c r="A40" s="25" t="s">
        <v>109</v>
      </c>
      <c r="B40" s="25" t="s">
        <v>110</v>
      </c>
      <c r="C40" s="26" t="s">
        <v>108</v>
      </c>
      <c r="D40" s="27">
        <v>86161.0</v>
      </c>
      <c r="E40" s="28">
        <f t="shared" si="5"/>
        <v>4.677212157</v>
      </c>
      <c r="F40" s="27">
        <v>402993.2767</v>
      </c>
      <c r="G40" s="29">
        <v>10.76</v>
      </c>
      <c r="H40" s="30">
        <v>86707.0</v>
      </c>
      <c r="I40" s="31">
        <f t="shared" si="6"/>
        <v>1.833193303</v>
      </c>
      <c r="J40" s="30">
        <v>158950.6917</v>
      </c>
      <c r="K40" s="32">
        <v>4.4</v>
      </c>
    </row>
    <row r="41" ht="12.75" customHeight="1">
      <c r="A41" s="25" t="s">
        <v>111</v>
      </c>
      <c r="B41" s="25" t="s">
        <v>112</v>
      </c>
      <c r="C41" s="26" t="s">
        <v>113</v>
      </c>
      <c r="D41" s="27">
        <v>40678.0</v>
      </c>
      <c r="E41" s="28">
        <f t="shared" si="5"/>
        <v>4.106123703</v>
      </c>
      <c r="F41" s="27">
        <v>167028.9</v>
      </c>
      <c r="G41" s="29">
        <v>5.7</v>
      </c>
      <c r="H41" s="30">
        <v>42176.0</v>
      </c>
      <c r="I41" s="31">
        <f t="shared" si="6"/>
        <v>1.78787225</v>
      </c>
      <c r="J41" s="30">
        <v>75405.3</v>
      </c>
      <c r="K41" s="32">
        <v>4.61</v>
      </c>
    </row>
    <row r="42" ht="12.75" customHeight="1">
      <c r="A42" s="25" t="s">
        <v>114</v>
      </c>
      <c r="B42" s="25" t="s">
        <v>115</v>
      </c>
      <c r="C42" s="26" t="s">
        <v>116</v>
      </c>
      <c r="D42" s="27">
        <v>65596.0</v>
      </c>
      <c r="E42" s="28">
        <f t="shared" si="5"/>
        <v>3.736173776</v>
      </c>
      <c r="F42" s="27">
        <v>245078.055</v>
      </c>
      <c r="G42" s="29">
        <v>7.45</v>
      </c>
      <c r="H42" s="30">
        <v>65032.0</v>
      </c>
      <c r="I42" s="31">
        <f t="shared" si="6"/>
        <v>1.130777771</v>
      </c>
      <c r="J42" s="30">
        <v>73536.74</v>
      </c>
      <c r="K42" s="32">
        <v>3.27</v>
      </c>
    </row>
    <row r="43" ht="12.75" customHeight="1">
      <c r="A43" s="25" t="s">
        <v>117</v>
      </c>
      <c r="B43" s="25" t="s">
        <v>118</v>
      </c>
      <c r="C43" s="26" t="s">
        <v>116</v>
      </c>
      <c r="D43" s="27">
        <v>91806.0</v>
      </c>
      <c r="E43" s="28">
        <f t="shared" si="5"/>
        <v>3.333006557</v>
      </c>
      <c r="F43" s="27">
        <v>305990.0</v>
      </c>
      <c r="G43" s="29">
        <v>8.6</v>
      </c>
      <c r="H43" s="30">
        <v>95624.0</v>
      </c>
      <c r="I43" s="31">
        <f t="shared" si="6"/>
        <v>1.527913756</v>
      </c>
      <c r="J43" s="30">
        <v>146105.225</v>
      </c>
      <c r="K43" s="32">
        <v>4.27</v>
      </c>
    </row>
    <row r="44" ht="12.75" customHeight="1">
      <c r="A44" s="25"/>
      <c r="B44" s="25"/>
      <c r="C44" s="26"/>
      <c r="D44" s="34"/>
      <c r="E44" s="28"/>
      <c r="F44" s="34"/>
      <c r="G44" s="35"/>
      <c r="H44" s="36"/>
      <c r="I44" s="31"/>
      <c r="J44" s="36"/>
      <c r="K44" s="37"/>
    </row>
    <row r="45" ht="12.75" customHeight="1">
      <c r="A45" s="25"/>
      <c r="B45" s="25"/>
      <c r="C45" s="26"/>
      <c r="D45" s="34"/>
      <c r="E45" s="28"/>
      <c r="F45" s="34"/>
      <c r="G45" s="35"/>
      <c r="H45" s="36"/>
      <c r="I45" s="31"/>
      <c r="J45" s="36"/>
      <c r="K45" s="37"/>
    </row>
    <row r="46" ht="12.75" customHeight="1">
      <c r="A46" s="25"/>
      <c r="B46" s="25"/>
      <c r="C46" s="26"/>
      <c r="D46" s="34"/>
      <c r="E46" s="28"/>
      <c r="F46" s="34"/>
      <c r="G46" s="38"/>
      <c r="H46" s="36"/>
      <c r="I46" s="31"/>
      <c r="J46" s="36"/>
      <c r="K46" s="37"/>
    </row>
    <row r="47" ht="12.75" customHeight="1">
      <c r="A47" s="25"/>
      <c r="B47" s="25"/>
      <c r="C47" s="26"/>
      <c r="D47" s="34"/>
      <c r="E47" s="28"/>
      <c r="F47" s="34"/>
      <c r="G47" s="38"/>
      <c r="H47" s="36"/>
      <c r="I47" s="31"/>
      <c r="J47" s="36"/>
      <c r="K47" s="3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13"/>
    <col customWidth="1" min="2" max="2" width="15.88"/>
    <col customWidth="1" min="3" max="3" width="7.0"/>
    <col customWidth="1" min="4" max="4" width="81.0"/>
  </cols>
  <sheetData>
    <row r="1" ht="12.75" customHeight="1">
      <c r="A1" s="39" t="s">
        <v>119</v>
      </c>
      <c r="B1" s="40" t="s">
        <v>120</v>
      </c>
      <c r="C1" s="40" t="s">
        <v>121</v>
      </c>
      <c r="D1" s="39" t="s">
        <v>122</v>
      </c>
    </row>
    <row r="2" ht="15.75" customHeight="1">
      <c r="A2" s="41">
        <v>45365.0</v>
      </c>
      <c r="B2" s="42" t="s">
        <v>123</v>
      </c>
      <c r="C2" s="43">
        <v>2023.0</v>
      </c>
      <c r="D2" s="42" t="s">
        <v>124</v>
      </c>
    </row>
    <row r="3" ht="15.75" customHeight="1">
      <c r="A3" s="44"/>
      <c r="B3" s="45"/>
      <c r="C3" s="44"/>
      <c r="D3" s="45"/>
    </row>
    <row r="4" ht="15.75" customHeight="1">
      <c r="A4" s="44"/>
      <c r="B4" s="45"/>
      <c r="C4" s="44"/>
      <c r="D4" s="45" t="s">
        <v>125</v>
      </c>
    </row>
    <row r="5" ht="15.75" customHeight="1">
      <c r="A5" s="46"/>
      <c r="B5" s="47"/>
      <c r="C5" s="43"/>
      <c r="D5" s="42"/>
    </row>
  </sheetData>
  <drawing r:id="rId1"/>
</worksheet>
</file>