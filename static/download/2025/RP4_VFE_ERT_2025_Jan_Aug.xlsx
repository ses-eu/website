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VFE_SES" sheetId="1" r:id="rId3"/>
    <sheet state="visible" name="ERT_VFE_FAB" sheetId="2" r:id="rId4"/>
    <sheet state="visible" name="ERT_VFE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<sst xmlns="http://schemas.openxmlformats.org/spreadsheetml/2006/main" count="115" uniqueCount="65">
  <si>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</si>
  <si>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</si>
  <si>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</si>
  <si>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</si>
  <si>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</si>
  <si>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</si>
  <si>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</si>
  <si>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</si>
  <si>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</si>
  <si>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</si>
  <si>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Vertical en-route flight efficiency</t>
  </si>
  <si>
    <t>Entity</t>
  </si>
  <si>
    <t>Year</t>
  </si>
  <si>
    <t>Total distance (km)</t>
  </si>
  <si>
    <t>Distance flown at altitudes ≥ Requested FL - 1000 ft</t>
  </si>
  <si>
    <t>Indicator (%)</t>
  </si>
  <si>
    <t>SES AREA (RP4)</t>
  </si>
  <si>
    <t>2025</t>
  </si>
  <si>
    <t>2026</t>
  </si>
  <si>
    <t>2027</t>
  </si>
  <si>
    <t>2028</t>
  </si>
  <si>
    <t>2029</t>
  </si>
  <si>
    <t xml:space="preserve">EUROCONTROL </t>
  </si>
  <si>
    <t>FAB level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</si>
  <si>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</si>
  <si>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</si>
  <si>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</si>
  <si>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</si>
  <si>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</si>
  <si>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</si>
  <si>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</si>
  <si>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</si>
  <si>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</si>
  <si>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</si>
  <si>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</si>
  <si>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</si>
  <si>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</si>
  <si>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</si>
  <si>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</si>
  <si>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</si>
  <si>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</si>
  <si>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</si>
  <si>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</si>
  <si>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</si>
  <si>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</si>
  <si>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</si>
  <si>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</si>
  <si>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</si>
  <si>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</si>
  <si>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</si>
  <si>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</si>
  <si>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</si>
  <si>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</si>
  <si>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 Continental</t>
  </si>
  <si>
    <t>Poland</t>
  </si>
  <si>
    <t>Portugal Continental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</si>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</sst>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&quot; &quot;mmm&quot; &quot;yyyy"/>
    <numFmt numFmtId="165" formatCode="m/d/yyyy"/>
    <numFmt numFmtId="166" formatCode="d mmm yyyy"/>
    <numFmt numFmtId="167" formatCode="d mmm. yyyy"/>
    <numFmt numFmtId="168" formatCode="0.0%"/>
    <numFmt numFmtId="169" formatCode="mmm 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b/>
      <sz val="9.0"/>
      <color rgb="FF396EA2"/>
      <name val="Arial"/>
    </font>
    <font>
      <b/>
      <sz val="10.0"/>
      <color rgb="FF396EA2"/>
      <name val="Calibri"/>
    </font>
    <font>
      <u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9.0"/>
      <color rgb="FF000000"/>
      <name val="Arial"/>
    </font>
    <font>
      <sz val="9.0"/>
      <color rgb="FFFFFFFF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13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3" fontId="6" numFmtId="0" xfId="0" applyAlignment="1" applyBorder="1" applyFont="1">
      <alignment horizontal="center" readingOrder="0" shrinkToFit="0" vertical="center" wrapText="0"/>
    </xf>
    <xf borderId="8" fillId="4" fontId="8" numFmtId="0" xfId="0" applyAlignment="1" applyBorder="1" applyFill="1" applyFont="1">
      <alignment horizontal="center" shrinkToFit="0" vertical="center" wrapText="1"/>
    </xf>
    <xf borderId="8" fillId="4" fontId="8" numFmtId="4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6" numFmtId="3" xfId="0" applyAlignment="1" applyFont="1" applyNumberFormat="1">
      <alignment readingOrder="0" shrinkToFit="0" wrapText="1"/>
    </xf>
    <xf borderId="0" fillId="0" fontId="6" numFmtId="168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9" numFmtId="0" xfId="0" applyAlignment="1" applyBorder="1" applyFont="1">
      <alignment readingOrder="0" shrinkToFit="0" wrapText="0"/>
    </xf>
    <xf borderId="1" fillId="2" fontId="10" numFmtId="0" xfId="0" applyAlignment="1" applyBorder="1" applyFont="1">
      <alignment horizontal="left" shrinkToFit="0" wrapText="0"/>
    </xf>
    <xf borderId="3" fillId="2" fontId="1" numFmtId="0" xfId="0" applyAlignment="1" applyBorder="1" applyFont="1">
      <alignment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2" fontId="10" numFmtId="0" xfId="0" applyAlignment="1" applyBorder="1" applyFont="1">
      <alignment horizontal="left" shrinkToFit="0" wrapText="0"/>
    </xf>
    <xf borderId="3" fillId="3" fontId="11" numFmtId="0" xfId="0" applyAlignment="1" applyBorder="1" applyFont="1">
      <alignment horizontal="left" readingOrder="0" shrinkToFit="0" wrapText="0"/>
    </xf>
    <xf borderId="5" fillId="3" fontId="0" numFmtId="0" xfId="0" applyAlignment="1" applyBorder="1" applyFont="1">
      <alignment shrinkToFit="0" wrapText="1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12" numFmtId="0" xfId="0" applyAlignment="1" applyBorder="1" applyFont="1">
      <alignment readingOrder="0" shrinkToFit="0" wrapText="0"/>
    </xf>
    <xf borderId="5" fillId="3" fontId="13" numFmtId="0" xfId="0" applyAlignment="1" applyBorder="1" applyFont="1">
      <alignment horizontal="center" readingOrder="0" shrinkToFit="0" wrapText="1"/>
    </xf>
    <xf borderId="8" fillId="4" fontId="14" numFmtId="0" xfId="0" applyAlignment="1" applyBorder="1" applyFont="1">
      <alignment horizontal="center" readingOrder="0" shrinkToFit="0" vertical="center" wrapText="1"/>
    </xf>
    <xf borderId="8" fillId="5" fontId="6" numFmtId="0" xfId="0" applyAlignment="1" applyBorder="1" applyFill="1" applyFont="1">
      <alignment readingOrder="0" shrinkToFit="0" vertical="center" wrapText="0"/>
    </xf>
    <xf borderId="8" fillId="5" fontId="15" numFmtId="3" xfId="0" applyAlignment="1" applyBorder="1" applyFont="1" applyNumberFormat="1">
      <alignment horizontal="center" readingOrder="0" shrinkToFit="0" vertical="center" wrapText="0"/>
    </xf>
    <xf borderId="8" fillId="5" fontId="6" numFmtId="168" xfId="0" applyAlignment="1" applyBorder="1" applyFont="1" applyNumberFormat="1">
      <alignment horizontal="center" readingOrder="0" shrinkToFit="0" vertical="center" wrapText="0"/>
    </xf>
    <xf borderId="8" fillId="5" fontId="6" numFmtId="3" xfId="0" applyAlignment="1" applyBorder="1" applyFont="1" applyNumberFormat="1">
      <alignment horizontal="center"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1" fillId="3" fontId="0" numFmtId="0" xfId="0" applyAlignment="1" applyBorder="1" applyFont="1">
      <alignment shrinkToFit="0" wrapText="1"/>
    </xf>
    <xf borderId="12" fillId="3" fontId="6" numFmtId="0" xfId="0" applyAlignment="1" applyBorder="1" applyFont="1">
      <alignment readingOrder="0" shrinkToFit="0" vertical="center" wrapText="0"/>
    </xf>
    <xf borderId="8" fillId="3" fontId="6" numFmtId="3" xfId="0" applyAlignment="1" applyBorder="1" applyFont="1" applyNumberFormat="1">
      <alignment horizontal="right" readingOrder="0" shrinkToFit="0" vertical="center" wrapText="0"/>
    </xf>
    <xf borderId="8" fillId="3" fontId="15" numFmtId="168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8" fillId="3" fontId="15" numFmtId="3" xfId="0" applyAlignment="1" applyBorder="1" applyFont="1" applyNumberForma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6" fontId="16" numFmtId="0" xfId="0" applyAlignment="1" applyFill="1" applyFont="1">
      <alignment shrinkToFit="0" wrapText="0"/>
    </xf>
    <xf borderId="0" fillId="6" fontId="16" numFmtId="0" xfId="0" applyAlignment="1" applyFont="1">
      <alignment horizontal="center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17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17" numFmtId="164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vertical="bottom"/>
    </xf>
    <xf borderId="0" fillId="3" fontId="6" numFmtId="169" xfId="0" applyAlignment="1" applyFont="1" applyNumberFormat="1">
      <alignment horizontal="center" readingOrder="0" vertical="bottom"/>
    </xf>
    <xf borderId="0" fillId="3" fontId="17" numFmtId="166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5.25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45658.0</v>
      </c>
      <c r="E1" s="1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  <c r="G1" s="5"/>
    </row>
    <row r="2" ht="12.0" customHeight="1">
      <c r="A2" s="6" t="s">
        <v>4</v>
      </c>
      <c r="B2" s="7">
        <v>45918.0</v>
      </c>
      <c r="C2" s="8" t="s">
        <v>5</v>
      </c>
      <c r="D2" s="9">
        <v>45900.0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8</v>
      </c>
      <c r="F3" s="14" t="s">
        <v>9</v>
      </c>
      <c r="G3" s="14" t="s">
        <v>9</v>
      </c>
    </row>
    <row r="4" ht="13.5" customHeight="1">
      <c r="A4" s="15" t="s">
        <v>10</v>
      </c>
      <c r="B4" s="16"/>
      <c r="C4" s="17"/>
      <c r="D4" s="18"/>
      <c r="E4" s="18"/>
      <c r="F4" s="14" t="s">
        <v>8</v>
      </c>
      <c r="G4" s="14" t="s">
        <v>8</v>
      </c>
    </row>
    <row r="5" ht="38.25" customHeight="1">
      <c r="A5" s="19" t="s">
        <v>11</v>
      </c>
      <c r="B5" s="20" t="s">
        <v>12</v>
      </c>
      <c r="C5" s="21" t="s">
        <v>13</v>
      </c>
      <c r="D5" s="21" t="s">
        <v>14</v>
      </c>
      <c r="E5" s="21" t="s">
        <v>15</v>
      </c>
      <c r="F5" s="14" t="s">
        <v>8</v>
      </c>
      <c r="G5" s="14" t="s">
        <v>9</v>
      </c>
    </row>
    <row r="6" ht="12.75" customHeight="1">
      <c r="A6" s="22" t="s">
        <v>16</v>
      </c>
      <c r="B6" s="23" t="s">
        <v>17</v>
      </c>
      <c r="C6" s="24">
        <v>5.112685538E9</v>
      </c>
      <c r="D6" s="24">
        <v>3.903457644E9</v>
      </c>
      <c r="E6" s="25">
        <f>D6/C6</f>
        <v>0.7634847899</v>
      </c>
      <c r="F6" s="14" t="s">
        <v>8</v>
      </c>
      <c r="G6" s="14" t="s">
        <v>9</v>
      </c>
    </row>
    <row r="7" ht="12.75" customHeight="1">
      <c r="A7" s="22" t="s">
        <v>16</v>
      </c>
      <c r="B7" s="23" t="s">
        <v>18</v>
      </c>
      <c r="C7" s="26"/>
      <c r="D7" s="26"/>
      <c r="E7" s="26"/>
      <c r="F7" s="14" t="s">
        <v>8</v>
      </c>
      <c r="G7" s="14" t="s">
        <v>9</v>
      </c>
    </row>
    <row r="8" ht="12.75" customHeight="1">
      <c r="A8" s="22" t="s">
        <v>16</v>
      </c>
      <c r="B8" s="23" t="s">
        <v>19</v>
      </c>
      <c r="C8" s="26"/>
      <c r="D8" s="26"/>
      <c r="E8" s="26"/>
      <c r="F8" s="14" t="s">
        <v>8</v>
      </c>
      <c r="G8" s="14" t="s">
        <v>9</v>
      </c>
    </row>
    <row r="9" ht="12.75" customHeight="1">
      <c r="A9" s="22" t="s">
        <v>16</v>
      </c>
      <c r="B9" s="23" t="s">
        <v>20</v>
      </c>
      <c r="C9" s="26"/>
      <c r="D9" s="26"/>
      <c r="E9" s="26"/>
      <c r="F9" s="14" t="s">
        <v>8</v>
      </c>
      <c r="G9" s="14" t="s">
        <v>9</v>
      </c>
    </row>
    <row r="10" ht="12.75" customHeight="1">
      <c r="A10" s="22" t="s">
        <v>16</v>
      </c>
      <c r="B10" s="23" t="s">
        <v>21</v>
      </c>
      <c r="C10" s="26"/>
      <c r="D10" s="26"/>
      <c r="E10" s="26"/>
      <c r="F10" s="14" t="s">
        <v>8</v>
      </c>
      <c r="G10" s="14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5.5"/>
    <col customWidth="1" min="4" max="4" width="10.25"/>
    <col customWidth="1" min="5" max="5" width="10.75"/>
    <col customWidth="1" min="6" max="6" width="9.75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45918</v>
      </c>
      <c r="C2" s="8" t="s">
        <v>5</v>
      </c>
      <c r="D2" s="9">
        <f>ERT_VFE_SES!D2</f>
        <v>45900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35"/>
      <c r="F3" s="37"/>
    </row>
    <row r="4" ht="13.5" customHeight="1">
      <c r="A4" s="38" t="s">
        <v>8</v>
      </c>
      <c r="B4" s="39" t="s">
        <v>8</v>
      </c>
      <c r="C4" s="35"/>
      <c r="D4" s="35"/>
      <c r="E4" s="35"/>
      <c r="F4" s="37"/>
    </row>
    <row r="5" ht="25.5" customHeight="1">
      <c r="A5" s="40" t="s">
        <v>23</v>
      </c>
      <c r="B5" s="21" t="s">
        <v>13</v>
      </c>
      <c r="C5" s="21" t="s">
        <v>14</v>
      </c>
      <c r="D5" s="21" t="s">
        <v>15</v>
      </c>
      <c r="E5" s="35"/>
      <c r="F5" s="37"/>
    </row>
    <row r="6" ht="12.75" customHeight="1">
      <c r="A6" s="41" t="s">
        <v>16</v>
      </c>
      <c r="B6" s="42">
        <v>5.112685538E9</v>
      </c>
      <c r="C6" s="42">
        <v>3.903457644E9</v>
      </c>
      <c r="D6" s="43">
        <f t="shared" ref="D6:D15" si="1">C6/B6</f>
        <v>0.7634847899</v>
      </c>
      <c r="E6" s="35"/>
      <c r="F6" s="37"/>
    </row>
    <row r="7" ht="12.75" customHeight="1">
      <c r="A7" s="41" t="s">
        <v>24</v>
      </c>
      <c r="B7" s="42">
        <v>1.59308454E8</v>
      </c>
      <c r="C7" s="42">
        <v>1.17911752E8</v>
      </c>
      <c r="D7" s="43">
        <f t="shared" si="1"/>
        <v>0.7401474877</v>
      </c>
      <c r="E7" s="35"/>
      <c r="F7" s="37"/>
    </row>
    <row r="8" ht="12.75" customHeight="1">
      <c r="A8" s="41" t="s">
        <v>25</v>
      </c>
      <c r="B8" s="42">
        <v>9.32776152E8</v>
      </c>
      <c r="C8" s="42">
        <v>6.78199154E8</v>
      </c>
      <c r="D8" s="43">
        <f t="shared" si="1"/>
        <v>0.7270760005</v>
      </c>
      <c r="E8" s="35"/>
      <c r="F8" s="37"/>
    </row>
    <row r="9" ht="12.75" customHeight="1">
      <c r="A9" s="41" t="s">
        <v>26</v>
      </c>
      <c r="B9" s="42">
        <v>4.22410512E8</v>
      </c>
      <c r="C9" s="42">
        <v>3.24836618E8</v>
      </c>
      <c r="D9" s="43">
        <f t="shared" si="1"/>
        <v>0.7690069465</v>
      </c>
      <c r="E9" s="35"/>
      <c r="F9" s="37"/>
    </row>
    <row r="10" ht="12.75" customHeight="1">
      <c r="A10" s="41" t="s">
        <v>27</v>
      </c>
      <c r="B10" s="42">
        <v>1.55751841E8</v>
      </c>
      <c r="C10" s="42">
        <v>1.2085298E8</v>
      </c>
      <c r="D10" s="43">
        <f t="shared" si="1"/>
        <v>0.775932915</v>
      </c>
      <c r="E10" s="35"/>
      <c r="F10" s="37"/>
    </row>
    <row r="11" ht="12.75" customHeight="1">
      <c r="A11" s="41" t="s">
        <v>28</v>
      </c>
      <c r="B11" s="42">
        <v>6.14119718E8</v>
      </c>
      <c r="C11" s="42">
        <v>4.69440933E8</v>
      </c>
      <c r="D11" s="43">
        <f t="shared" si="1"/>
        <v>0.7644127346</v>
      </c>
      <c r="E11" s="35"/>
      <c r="F11" s="37"/>
    </row>
    <row r="12" ht="12.75" customHeight="1">
      <c r="A12" s="41" t="s">
        <v>29</v>
      </c>
      <c r="B12" s="42">
        <v>1.790250965E9</v>
      </c>
      <c r="C12" s="42">
        <v>1.405599209E9</v>
      </c>
      <c r="D12" s="43">
        <f t="shared" si="1"/>
        <v>0.7851408749</v>
      </c>
      <c r="E12" s="35"/>
      <c r="F12" s="37"/>
    </row>
    <row r="13" ht="12.75" customHeight="1">
      <c r="A13" s="41" t="s">
        <v>30</v>
      </c>
      <c r="B13" s="44">
        <v>1.42321697E8</v>
      </c>
      <c r="C13" s="44">
        <v>1.09657348E8</v>
      </c>
      <c r="D13" s="43">
        <f t="shared" si="1"/>
        <v>0.7704893232</v>
      </c>
      <c r="E13" s="35"/>
      <c r="F13" s="37"/>
    </row>
    <row r="14" ht="12.75" customHeight="1">
      <c r="A14" s="41" t="s">
        <v>31</v>
      </c>
      <c r="B14" s="44">
        <v>8.04213276E8</v>
      </c>
      <c r="C14" s="44">
        <v>6.02873777E8</v>
      </c>
      <c r="D14" s="43">
        <f t="shared" si="1"/>
        <v>0.7496441491</v>
      </c>
      <c r="E14" s="35"/>
      <c r="F14" s="37"/>
    </row>
    <row r="15" ht="12.75" customHeight="1">
      <c r="A15" s="41" t="s">
        <v>32</v>
      </c>
      <c r="B15" s="42">
        <v>4.2072451E8</v>
      </c>
      <c r="C15" s="42">
        <v>3.36740893E8</v>
      </c>
      <c r="D15" s="43">
        <f t="shared" si="1"/>
        <v>0.8003833506</v>
      </c>
      <c r="E15" s="35"/>
      <c r="F15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7.88"/>
    <col customWidth="1" min="4" max="4" width="10.25"/>
    <col customWidth="1" min="5" max="5" width="10.75"/>
    <col customWidth="1" min="6" max="6" width="9.63"/>
  </cols>
  <sheetData>
    <row r="1" ht="12.75" customHeight="1">
      <c r="A1" s="27" t="s">
        <v>0</v>
      </c>
      <c r="B1" s="28" t="s">
        <v>22</v>
      </c>
      <c r="C1" s="29" t="s">
        <v>8</v>
      </c>
      <c r="D1" s="3">
        <f>ERT_VFE_SES!D1</f>
        <v>45658</v>
      </c>
      <c r="E1" s="30" t="s">
        <v>3</v>
      </c>
      <c r="F1" s="4" t="str">
        <f>HYPERLINK("https://www.eurocontrol.int/prudata/dashboard/metadata/vertical-ert-flight-efficiency/","Avg. vertical en-route flight efficiency")</f>
        <v>Avg. vertical en-route flight efficiency</v>
      </c>
    </row>
    <row r="2" ht="12.75" customHeight="1">
      <c r="A2" s="31" t="s">
        <v>4</v>
      </c>
      <c r="B2" s="32">
        <f>ERT_VFE_SES!B2</f>
        <v>45918</v>
      </c>
      <c r="C2" s="8" t="s">
        <v>5</v>
      </c>
      <c r="D2" s="9">
        <f>ERT_VFE_SES!D2</f>
        <v>45900</v>
      </c>
      <c r="E2" s="33" t="s">
        <v>6</v>
      </c>
      <c r="F2" s="34" t="s">
        <v>7</v>
      </c>
    </row>
    <row r="3" ht="12.75" customHeight="1">
      <c r="A3" s="35"/>
      <c r="B3" s="36"/>
      <c r="C3" s="35"/>
      <c r="D3" s="35"/>
      <c r="E3" s="45" t="s">
        <v>8</v>
      </c>
      <c r="F3" s="45" t="s">
        <v>8</v>
      </c>
    </row>
    <row r="4" ht="13.5" customHeight="1">
      <c r="A4" s="39" t="s">
        <v>8</v>
      </c>
      <c r="B4" s="39" t="s">
        <v>8</v>
      </c>
      <c r="C4" s="35"/>
      <c r="D4" s="35"/>
      <c r="E4" s="35"/>
      <c r="F4" s="46"/>
    </row>
    <row r="5" ht="25.5" customHeight="1">
      <c r="A5" s="40" t="s">
        <v>33</v>
      </c>
      <c r="B5" s="21" t="s">
        <v>13</v>
      </c>
      <c r="C5" s="21" t="s">
        <v>14</v>
      </c>
      <c r="D5" s="21" t="s">
        <v>15</v>
      </c>
      <c r="E5" s="46"/>
      <c r="F5" s="46"/>
    </row>
    <row r="6" ht="12.75" customHeight="1">
      <c r="A6" s="47" t="s">
        <v>34</v>
      </c>
      <c r="B6" s="48">
        <v>1.59236973E8</v>
      </c>
      <c r="C6" s="48">
        <v>1.22176949E8</v>
      </c>
      <c r="D6" s="49">
        <f t="shared" ref="D6:D33" si="1">C6/B6</f>
        <v>0.7672649555</v>
      </c>
      <c r="E6" s="46"/>
      <c r="F6" s="46"/>
    </row>
    <row r="7" ht="12.75" customHeight="1">
      <c r="A7" s="50" t="s">
        <v>35</v>
      </c>
      <c r="B7" s="51">
        <v>7.9940015E7</v>
      </c>
      <c r="C7" s="51">
        <v>6.0613911E7</v>
      </c>
      <c r="D7" s="49">
        <f t="shared" si="1"/>
        <v>0.7582424271</v>
      </c>
      <c r="E7" s="46"/>
      <c r="F7" s="46"/>
    </row>
    <row r="8" ht="12.75" customHeight="1">
      <c r="A8" s="50" t="s">
        <v>36</v>
      </c>
      <c r="B8" s="51">
        <v>1.85902405E8</v>
      </c>
      <c r="C8" s="51">
        <v>1.4131263E8</v>
      </c>
      <c r="D8" s="49">
        <f t="shared" si="1"/>
        <v>0.7601441735</v>
      </c>
      <c r="E8" s="46"/>
      <c r="F8" s="46"/>
    </row>
    <row r="9" ht="12.75" customHeight="1">
      <c r="A9" s="50" t="s">
        <v>37</v>
      </c>
      <c r="B9" s="51">
        <v>1.38841553E8</v>
      </c>
      <c r="C9" s="51">
        <v>1.03535277E8</v>
      </c>
      <c r="D9" s="49">
        <f t="shared" si="1"/>
        <v>0.7457081455</v>
      </c>
      <c r="E9" s="46"/>
      <c r="F9" s="46"/>
    </row>
    <row r="10" ht="12.75" customHeight="1">
      <c r="A10" s="50" t="s">
        <v>38</v>
      </c>
      <c r="B10" s="51">
        <v>7.3418984E7</v>
      </c>
      <c r="C10" s="51">
        <v>4.8914453E7</v>
      </c>
      <c r="D10" s="49">
        <f t="shared" si="1"/>
        <v>0.6662371274</v>
      </c>
      <c r="E10" s="46"/>
      <c r="F10" s="46"/>
    </row>
    <row r="11" ht="12.75" customHeight="1">
      <c r="A11" s="50" t="s">
        <v>39</v>
      </c>
      <c r="B11" s="51">
        <v>8.6883342E7</v>
      </c>
      <c r="C11" s="51">
        <v>6.74702E7</v>
      </c>
      <c r="D11" s="49">
        <f t="shared" si="1"/>
        <v>0.776560828</v>
      </c>
      <c r="E11" s="46"/>
      <c r="F11" s="46"/>
    </row>
    <row r="12" ht="12.75" customHeight="1">
      <c r="A12" s="50" t="s">
        <v>40</v>
      </c>
      <c r="B12" s="51">
        <v>5.5217253E7</v>
      </c>
      <c r="C12" s="51">
        <v>4.3197269E7</v>
      </c>
      <c r="D12" s="49">
        <f t="shared" si="1"/>
        <v>0.7823147052</v>
      </c>
      <c r="E12" s="46"/>
      <c r="F12" s="46"/>
    </row>
    <row r="13" ht="12.75" customHeight="1">
      <c r="A13" s="50" t="s">
        <v>41</v>
      </c>
      <c r="B13" s="48">
        <v>1.9049592E7</v>
      </c>
      <c r="C13" s="48">
        <v>1.4642702E7</v>
      </c>
      <c r="D13" s="49">
        <f t="shared" si="1"/>
        <v>0.768662237</v>
      </c>
      <c r="E13" s="46"/>
      <c r="F13" s="46"/>
    </row>
    <row r="14" ht="12.75" customHeight="1">
      <c r="A14" s="50" t="s">
        <v>42</v>
      </c>
      <c r="B14" s="48">
        <v>1.8765206E7</v>
      </c>
      <c r="C14" s="48">
        <v>1.2836831E7</v>
      </c>
      <c r="D14" s="49">
        <f t="shared" si="1"/>
        <v>0.68407621</v>
      </c>
      <c r="E14" s="46"/>
      <c r="F14" s="46"/>
    </row>
    <row r="15" ht="12.75" customHeight="1">
      <c r="A15" s="50" t="s">
        <v>43</v>
      </c>
      <c r="B15" s="51">
        <v>1.040734525E9</v>
      </c>
      <c r="C15" s="51">
        <v>8.28556512E8</v>
      </c>
      <c r="D15" s="49">
        <f t="shared" si="1"/>
        <v>0.7961266702</v>
      </c>
      <c r="E15" s="46"/>
      <c r="F15" s="46"/>
    </row>
    <row r="16" ht="12.75" customHeight="1">
      <c r="A16" s="50" t="s">
        <v>44</v>
      </c>
      <c r="B16" s="51">
        <v>5.16676662E8</v>
      </c>
      <c r="C16" s="51">
        <v>3.9839937E8</v>
      </c>
      <c r="D16" s="49">
        <f t="shared" si="1"/>
        <v>0.7710806377</v>
      </c>
      <c r="E16" s="46"/>
      <c r="F16" s="46"/>
    </row>
    <row r="17" ht="12.75" customHeight="1">
      <c r="A17" s="50" t="s">
        <v>45</v>
      </c>
      <c r="B17" s="51">
        <v>3.32198357E8</v>
      </c>
      <c r="C17" s="51">
        <v>2.39726858E8</v>
      </c>
      <c r="D17" s="49">
        <f t="shared" si="1"/>
        <v>0.7216376991</v>
      </c>
      <c r="E17" s="46"/>
      <c r="F17" s="46"/>
    </row>
    <row r="18" ht="12.75" customHeight="1">
      <c r="A18" s="50" t="s">
        <v>46</v>
      </c>
      <c r="B18" s="51">
        <v>1.51100608E8</v>
      </c>
      <c r="C18" s="51">
        <v>1.16280352E8</v>
      </c>
      <c r="D18" s="49">
        <f t="shared" si="1"/>
        <v>0.7695558181</v>
      </c>
      <c r="E18" s="46"/>
      <c r="F18" s="46"/>
    </row>
    <row r="19" ht="12.75" customHeight="1">
      <c r="A19" s="50" t="s">
        <v>47</v>
      </c>
      <c r="B19" s="51">
        <v>9.1542164E7</v>
      </c>
      <c r="C19" s="51">
        <v>7.4088958E7</v>
      </c>
      <c r="D19" s="49">
        <f t="shared" si="1"/>
        <v>0.8093424359</v>
      </c>
      <c r="E19" s="46"/>
      <c r="F19" s="46"/>
    </row>
    <row r="20" ht="12.75" customHeight="1">
      <c r="A20" s="50" t="s">
        <v>48</v>
      </c>
      <c r="B20" s="51">
        <v>4.86044613E8</v>
      </c>
      <c r="C20" s="51">
        <v>3.57085559E8</v>
      </c>
      <c r="D20" s="49">
        <f t="shared" si="1"/>
        <v>0.734676508</v>
      </c>
      <c r="E20" s="46"/>
      <c r="F20" s="46"/>
    </row>
    <row r="21" ht="12.75" customHeight="1">
      <c r="A21" s="50" t="s">
        <v>49</v>
      </c>
      <c r="B21" s="51">
        <v>2.0998373E7</v>
      </c>
      <c r="C21" s="51">
        <v>1.6065384E7</v>
      </c>
      <c r="D21" s="49">
        <f t="shared" si="1"/>
        <v>0.765077561</v>
      </c>
      <c r="E21" s="46"/>
      <c r="F21" s="46"/>
    </row>
    <row r="22" ht="12.75" customHeight="1">
      <c r="A22" s="50" t="s">
        <v>50</v>
      </c>
      <c r="B22" s="51">
        <v>1.6117337E7</v>
      </c>
      <c r="C22" s="51">
        <v>1.1228805E7</v>
      </c>
      <c r="D22" s="49">
        <f t="shared" si="1"/>
        <v>0.6966910849</v>
      </c>
      <c r="E22" s="46"/>
      <c r="F22" s="46"/>
    </row>
    <row r="23" ht="12.75" customHeight="1">
      <c r="A23" s="50" t="s">
        <v>51</v>
      </c>
      <c r="B23" s="51">
        <v>4.1116689E7</v>
      </c>
      <c r="C23" s="51">
        <v>3.2474663E7</v>
      </c>
      <c r="D23" s="49">
        <f t="shared" si="1"/>
        <v>0.789817074</v>
      </c>
      <c r="E23" s="46"/>
      <c r="F23" s="46"/>
    </row>
    <row r="24" ht="12.75" customHeight="1">
      <c r="A24" s="50" t="s">
        <v>52</v>
      </c>
      <c r="B24" s="51">
        <v>8.4107157E7</v>
      </c>
      <c r="C24" s="51">
        <v>6.6171399E7</v>
      </c>
      <c r="D24" s="49">
        <f t="shared" si="1"/>
        <v>0.7867511085</v>
      </c>
      <c r="E24" s="46"/>
      <c r="F24" s="46"/>
    </row>
    <row r="25" ht="12.75" customHeight="1">
      <c r="A25" s="50" t="s">
        <v>53</v>
      </c>
      <c r="B25" s="51">
        <v>8.3508352E7</v>
      </c>
      <c r="C25" s="51">
        <v>6.611226E7</v>
      </c>
      <c r="D25" s="49">
        <f t="shared" si="1"/>
        <v>0.7916844054</v>
      </c>
      <c r="E25" s="46"/>
      <c r="F25" s="46"/>
    </row>
    <row r="26" ht="12.75" customHeight="1">
      <c r="A26" s="50" t="s">
        <v>54</v>
      </c>
      <c r="B26" s="51">
        <v>1.43191093E8</v>
      </c>
      <c r="C26" s="51">
        <v>1.06682927E8</v>
      </c>
      <c r="D26" s="49">
        <f t="shared" si="1"/>
        <v>0.7450388482</v>
      </c>
      <c r="E26" s="46"/>
      <c r="F26" s="46"/>
    </row>
    <row r="27" ht="12.75" customHeight="1">
      <c r="A27" s="50" t="s">
        <v>55</v>
      </c>
      <c r="B27" s="51">
        <v>1.78957701E8</v>
      </c>
      <c r="C27" s="51">
        <v>1.35863162E8</v>
      </c>
      <c r="D27" s="49">
        <f t="shared" si="1"/>
        <v>0.7591914807</v>
      </c>
      <c r="E27" s="46"/>
      <c r="F27" s="46"/>
    </row>
    <row r="28" ht="12.75" customHeight="1">
      <c r="A28" s="50" t="s">
        <v>56</v>
      </c>
      <c r="B28" s="51">
        <v>2.3650905E8</v>
      </c>
      <c r="C28" s="51">
        <v>1.83524777E8</v>
      </c>
      <c r="D28" s="49">
        <f t="shared" si="1"/>
        <v>0.7759735917</v>
      </c>
      <c r="E28" s="46"/>
      <c r="F28" s="46"/>
    </row>
    <row r="29" ht="12.75" customHeight="1">
      <c r="A29" s="50" t="s">
        <v>57</v>
      </c>
      <c r="B29" s="51">
        <v>4.4041335E7</v>
      </c>
      <c r="C29" s="51">
        <v>3.4024027E7</v>
      </c>
      <c r="D29" s="49">
        <f t="shared" si="1"/>
        <v>0.7725475851</v>
      </c>
      <c r="E29" s="46"/>
      <c r="F29" s="46"/>
    </row>
    <row r="30" ht="12.75" customHeight="1">
      <c r="A30" s="50" t="s">
        <v>58</v>
      </c>
      <c r="B30" s="51">
        <v>3.4017171E7</v>
      </c>
      <c r="C30" s="51">
        <v>2.5954495E7</v>
      </c>
      <c r="D30" s="49">
        <f t="shared" si="1"/>
        <v>0.7629821716</v>
      </c>
      <c r="E30" s="46"/>
      <c r="F30" s="46"/>
    </row>
    <row r="31" ht="12.75" customHeight="1">
      <c r="A31" s="50" t="s">
        <v>59</v>
      </c>
      <c r="B31" s="51">
        <v>6.25256233E8</v>
      </c>
      <c r="C31" s="51">
        <v>4.67010908E8</v>
      </c>
      <c r="D31" s="49">
        <f t="shared" si="1"/>
        <v>0.7469112395</v>
      </c>
      <c r="E31" s="46"/>
      <c r="F31" s="46"/>
    </row>
    <row r="32" ht="12.75" customHeight="1">
      <c r="A32" s="50" t="s">
        <v>60</v>
      </c>
      <c r="B32" s="51">
        <v>1.00534522E8</v>
      </c>
      <c r="C32" s="51">
        <v>7.7655659E7</v>
      </c>
      <c r="D32" s="49">
        <f t="shared" si="1"/>
        <v>0.7724277935</v>
      </c>
      <c r="E32" s="46"/>
      <c r="F32" s="46"/>
    </row>
    <row r="33" ht="12.75" customHeight="1">
      <c r="A33" s="50" t="s">
        <v>61</v>
      </c>
      <c r="B33" s="51">
        <v>6.8789119E7</v>
      </c>
      <c r="C33" s="51">
        <v>5.1858674E7</v>
      </c>
      <c r="D33" s="49">
        <f t="shared" si="1"/>
        <v>0.7538790255</v>
      </c>
      <c r="E33" s="46"/>
      <c r="F33" s="46"/>
    </row>
    <row r="34" ht="12.75" customHeight="1">
      <c r="A34" s="52"/>
      <c r="B34" s="52"/>
      <c r="C34" s="52"/>
      <c r="D34" s="53"/>
      <c r="E34" s="46"/>
      <c r="F34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54" t="s">
        <v>62</v>
      </c>
      <c r="B1" s="55" t="s">
        <v>11</v>
      </c>
      <c r="C1" s="55" t="s">
        <v>63</v>
      </c>
      <c r="D1" s="54" t="s">
        <v>64</v>
      </c>
    </row>
    <row r="2" ht="15.75" customHeight="1">
      <c r="A2" s="56"/>
      <c r="B2" s="57"/>
      <c r="C2" s="58"/>
      <c r="D2" s="57"/>
    </row>
    <row r="3" ht="15.75" customHeight="1">
      <c r="A3" s="56"/>
      <c r="B3" s="59"/>
      <c r="C3" s="60"/>
      <c r="D3" s="57"/>
    </row>
    <row r="4" ht="15.75" customHeight="1">
      <c r="A4" s="61"/>
      <c r="B4" s="59"/>
      <c r="C4" s="62"/>
      <c r="D4" s="63"/>
    </row>
    <row r="5" ht="15.75" customHeight="1">
      <c r="A5" s="64"/>
      <c r="B5" s="59"/>
      <c r="C5" s="62"/>
      <c r="D5" s="63"/>
    </row>
    <row r="6" ht="15.75" customHeight="1">
      <c r="A6" s="61"/>
      <c r="B6" s="59"/>
      <c r="C6" s="62"/>
      <c r="D6" s="63"/>
    </row>
    <row r="7" ht="15.75" customHeight="1">
      <c r="A7" s="64"/>
      <c r="B7" s="59"/>
      <c r="C7" s="65"/>
      <c r="D7" s="63"/>
    </row>
    <row r="8" ht="15.75" customHeight="1">
      <c r="A8" s="64"/>
      <c r="B8" s="59"/>
      <c r="C8" s="65"/>
      <c r="D8" s="63"/>
    </row>
    <row r="9" ht="15.75" customHeight="1">
      <c r="A9" s="64"/>
      <c r="B9" s="59"/>
      <c r="C9" s="65"/>
      <c r="D9" s="63"/>
    </row>
    <row r="10" ht="15.75" customHeight="1">
      <c r="A10" s="64"/>
      <c r="B10" s="59"/>
      <c r="C10" s="65"/>
      <c r="D10" s="63"/>
    </row>
    <row r="11" ht="15.75" customHeight="1">
      <c r="A11" s="64"/>
      <c r="B11" s="59"/>
      <c r="C11" s="65"/>
      <c r="D11" s="63"/>
    </row>
    <row r="12" ht="15.75" customHeight="1">
      <c r="A12" s="61"/>
      <c r="B12" s="59"/>
      <c r="C12" s="66"/>
      <c r="D12" s="63"/>
    </row>
    <row r="13" ht="15.75" customHeight="1">
      <c r="A13" s="61"/>
      <c r="B13" s="59"/>
      <c r="C13" s="66"/>
      <c r="D13" s="63"/>
    </row>
    <row r="14" ht="15.75" customHeight="1">
      <c r="A14" s="61"/>
      <c r="B14" s="59"/>
      <c r="C14" s="66"/>
      <c r="D14" s="63"/>
    </row>
    <row r="15" ht="15.75" customHeight="1">
      <c r="A15" s="61"/>
      <c r="B15" s="59"/>
      <c r="C15" s="66"/>
      <c r="D15" s="63"/>
    </row>
    <row r="16" ht="15.75" customHeight="1">
      <c r="A16" s="67"/>
      <c r="B16" s="59"/>
      <c r="C16" s="66"/>
      <c r="D16" s="63"/>
    </row>
    <row r="17" ht="15.75" customHeight="1">
      <c r="A17" s="61"/>
      <c r="B17" s="59"/>
      <c r="C17" s="66"/>
      <c r="D17" s="63"/>
    </row>
    <row r="18" ht="15.75" customHeight="1">
      <c r="A18" s="61"/>
      <c r="B18" s="59"/>
      <c r="C18" s="66"/>
      <c r="D18" s="63"/>
    </row>
    <row r="19" ht="15.75" customHeight="1">
      <c r="A19" s="61"/>
      <c r="B19" s="59"/>
      <c r="C19" s="66"/>
      <c r="D19" s="63"/>
    </row>
    <row r="20" ht="15.75" customHeight="1">
      <c r="A20" s="61"/>
      <c r="B20" s="59"/>
      <c r="C20" s="66"/>
      <c r="D20" s="63"/>
    </row>
    <row r="21" ht="15.75" customHeight="1">
      <c r="A21" s="61"/>
      <c r="B21" s="59"/>
      <c r="C21" s="66"/>
      <c r="D21" s="63"/>
    </row>
    <row r="22" ht="15.75" customHeight="1">
      <c r="A22" s="61"/>
      <c r="B22" s="59"/>
      <c r="C22" s="66"/>
      <c r="D22" s="63"/>
    </row>
    <row r="23" ht="15.75" customHeight="1">
      <c r="A23" s="61"/>
      <c r="B23" s="59"/>
      <c r="C23" s="66"/>
      <c r="D23" s="63"/>
    </row>
    <row r="24" ht="15.75" customHeight="1">
      <c r="A24" s="64"/>
      <c r="B24" s="59"/>
      <c r="C24" s="65"/>
      <c r="D24" s="63"/>
    </row>
    <row r="25" ht="15.75" customHeight="1">
      <c r="A25" s="64"/>
      <c r="B25" s="59"/>
      <c r="C25" s="65"/>
      <c r="D25" s="57"/>
    </row>
  </sheetData>
  <drawing r:id="rId1"/>
</worksheet>
</file>