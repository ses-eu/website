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5\"/>
    </mc:Choice>
  </mc:AlternateContent>
  <xr:revisionPtr revIDLastSave="0" documentId="13_ncr:1_{9770B7A6-7F40-4948-A294-7A8A78A2DF70}" xr6:coauthVersionLast="47" xr6:coauthVersionMax="47" xr10:uidLastSave="{00000000-0000-0000-0000-000000000000}"/>
  <bookViews>
    <workbookView xWindow="-120" yWindow="-120" windowWidth="29040" windowHeight="17325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3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<sst xmlns="http://schemas.openxmlformats.org/spreadsheetml/2006/main" count="767" uniqueCount="531">
  <si>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</si>
  <si>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</si>
  <si>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</si>
  <si>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</si>
  <si>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</si>
  <si>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</si>
  <si>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</si>
  <si>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</si>
  <si>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</si>
  <si>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</si>
  <si>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</si>
  <si>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JAN-JUL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</si>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</sst>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887.56904282407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6.1971683539940505"/>
    </cacheField>
    <cacheField name="FLTS [ARR]" numFmtId="3">
      <sharedItems containsSemiMixedTypes="0" containsString="0" containsNumber="1" containsInteger="1" minValue="3" maxValue="142523"/>
    </cacheField>
    <cacheField name="Airport ATFM arr. delay [total]" numFmtId="3">
      <sharedItems containsSemiMixedTypes="0" containsString="0" containsNumber="1" containsInteger="1" minValue="0" maxValue="635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74832740957558019"/>
    <n v="57396"/>
    <n v="42951"/>
  </r>
  <r>
    <x v="1"/>
    <s v="Berlin - Brandenburg (EDDB)"/>
    <s v="EDDB"/>
    <n v="1.3171133266258118E-2"/>
    <n v="54665"/>
    <n v="720"/>
  </r>
  <r>
    <x v="1"/>
    <s v="Dresden (EDDC)"/>
    <s v="EDDC"/>
    <n v="0"/>
    <n v="3517"/>
    <n v="0"/>
  </r>
  <r>
    <x v="1"/>
    <s v="Erfurt (EDDE)"/>
    <s v="EDDE"/>
    <n v="0"/>
    <n v="1103"/>
    <n v="0"/>
  </r>
  <r>
    <x v="1"/>
    <s v="Frankfurt (EDDF)"/>
    <s v="EDDF"/>
    <n v="1.0237977042394435"/>
    <n v="130937"/>
    <n v="134053"/>
  </r>
  <r>
    <x v="1"/>
    <s v="Muenster-Osnabrueck (EDDG)"/>
    <s v="EDDG"/>
    <n v="0"/>
    <n v="5349"/>
    <n v="0"/>
  </r>
  <r>
    <x v="1"/>
    <s v="Hamburg (EDDH)"/>
    <s v="EDDH"/>
    <n v="1.0298244091527091E-2"/>
    <n v="34569"/>
    <n v="356"/>
  </r>
  <r>
    <x v="1"/>
    <s v="Cologne-Bonn (EDDK)"/>
    <s v="EDDK"/>
    <n v="0.510843083586489"/>
    <n v="33247"/>
    <n v="16984"/>
  </r>
  <r>
    <x v="1"/>
    <s v="Dusseldorf (EDDL)"/>
    <s v="EDDL"/>
    <n v="7.0267993704697093E-2"/>
    <n v="45113"/>
    <n v="3170"/>
  </r>
  <r>
    <x v="1"/>
    <s v="Munich (EDDM)"/>
    <s v="EDDM"/>
    <n v="0.38060184605103786"/>
    <n v="95772"/>
    <n v="36451"/>
  </r>
  <r>
    <x v="1"/>
    <s v="Nuremberg (EDDN)"/>
    <s v="EDDN"/>
    <n v="0"/>
    <n v="11940"/>
    <n v="0"/>
  </r>
  <r>
    <x v="1"/>
    <s v="Leipzig-Halle (EDDP)"/>
    <s v="EDDP"/>
    <n v="0.1937861772126849"/>
    <n v="20213"/>
    <n v="3917"/>
  </r>
  <r>
    <x v="1"/>
    <s v="Saarbruecken (EDDR)"/>
    <s v="EDDR"/>
    <n v="0"/>
    <n v="1614"/>
    <n v="0"/>
  </r>
  <r>
    <x v="1"/>
    <s v="Stuttgart (EDDS)"/>
    <s v="EDDS"/>
    <n v="0.2927538541210214"/>
    <n v="25103"/>
    <n v="7349"/>
  </r>
  <r>
    <x v="1"/>
    <s v="Hanover (EDDV)"/>
    <s v="EDDV"/>
    <n v="0"/>
    <n v="14534"/>
    <n v="0"/>
  </r>
  <r>
    <x v="1"/>
    <s v="Bremen (EDDW)"/>
    <s v="EDDW"/>
    <n v="1.4885920979410128E-2"/>
    <n v="7188"/>
    <n v="107"/>
  </r>
  <r>
    <x v="2"/>
    <s v="Helsinki - Vantaa (EFHK)"/>
    <s v="EFHK"/>
    <n v="0.15373630541981836"/>
    <n v="44817"/>
    <n v="6890"/>
  </r>
  <r>
    <x v="3"/>
    <s v="Amsterdam - Schiphol (EHAM)"/>
    <s v="EHAM"/>
    <n v="4.4560948057506504"/>
    <n v="142523"/>
    <n v="635096"/>
  </r>
  <r>
    <x v="3"/>
    <s v="Maastricht-Aachen (EHBK)"/>
    <s v="EHBK"/>
    <n v="6.6916488222698078E-2"/>
    <n v="1868"/>
    <n v="125"/>
  </r>
  <r>
    <x v="3"/>
    <s v="Groningen (EHGG)"/>
    <s v="EHGG"/>
    <n v="9.7178683385579934E-3"/>
    <n v="3190"/>
    <n v="31"/>
  </r>
  <r>
    <x v="3"/>
    <s v="Rotterdam (EHRD)"/>
    <s v="EHRD"/>
    <n v="0"/>
    <n v="7710"/>
    <n v="0"/>
  </r>
  <r>
    <x v="4"/>
    <s v="Cork (EICK)"/>
    <s v="EICK"/>
    <n v="1.0619010619010619E-2"/>
    <n v="7722"/>
    <n v="82"/>
  </r>
  <r>
    <x v="4"/>
    <s v="Dublin (EIDW)"/>
    <s v="EIDW"/>
    <n v="0.10165021059172823"/>
    <n v="72415"/>
    <n v="7361"/>
  </r>
  <r>
    <x v="4"/>
    <s v="Shannon (EINN)"/>
    <s v="EINN"/>
    <n v="0"/>
    <n v="6966"/>
    <n v="0"/>
  </r>
  <r>
    <x v="5"/>
    <s v="Copenhagen - Kastrup (EKCH)"/>
    <s v="EKCH"/>
    <n v="0.41243639071614746"/>
    <n v="72513"/>
    <n v="29907"/>
  </r>
  <r>
    <x v="6"/>
    <s v="Luxembourg (ELLX)"/>
    <s v="ELLX"/>
    <n v="0.10750110094436562"/>
    <n v="20437"/>
    <n v="2197"/>
  </r>
  <r>
    <x v="7"/>
    <s v="Bergen (ENBR)"/>
    <s v="ENBR"/>
    <n v="1.2486492976347701E-2"/>
    <n v="24987"/>
    <n v="312"/>
  </r>
  <r>
    <x v="7"/>
    <s v="Oslo - Gardermoen (ENGM)"/>
    <s v="ENGM"/>
    <n v="0.32176164187018497"/>
    <n v="64122"/>
    <n v="20632"/>
  </r>
  <r>
    <x v="7"/>
    <s v="Trondheim (ENVA)"/>
    <s v="ENVA"/>
    <n v="0"/>
    <n v="14834"/>
    <n v="0"/>
  </r>
  <r>
    <x v="7"/>
    <s v="Stavanger (ENZV)"/>
    <s v="ENZV"/>
    <n v="0"/>
    <n v="16488"/>
    <n v="0"/>
  </r>
  <r>
    <x v="8"/>
    <s v="Bydgoszcz (EPBY)"/>
    <s v="EPBY"/>
    <n v="0"/>
    <n v="1387"/>
    <n v="0"/>
  </r>
  <r>
    <x v="8"/>
    <s v="Gdansk (EPGD)"/>
    <s v="EPGD"/>
    <n v="0"/>
    <n v="15188"/>
    <n v="0"/>
  </r>
  <r>
    <x v="8"/>
    <s v="Krakow - Balice (EPKK)"/>
    <s v="EPKK"/>
    <n v="0.40269757299196379"/>
    <n v="24763"/>
    <n v="9972"/>
  </r>
  <r>
    <x v="8"/>
    <s v="Katowice - Pyrzowice (EPKT)"/>
    <s v="EPKT"/>
    <n v="0.14668125455871628"/>
    <n v="13710"/>
    <n v="2011"/>
  </r>
  <r>
    <x v="8"/>
    <s v="Lublin (EPLB)"/>
    <s v="EPLB"/>
    <n v="0"/>
    <n v="1235"/>
    <n v="0"/>
  </r>
  <r>
    <x v="8"/>
    <s v="Lodz - Lublinek (EPLL)"/>
    <s v="EPLL"/>
    <n v="2.772002772002772E-3"/>
    <n v="1443"/>
    <n v="4"/>
  </r>
  <r>
    <x v="8"/>
    <s v="Warszawa - Modlin (EPMO)"/>
    <s v="EPMO"/>
    <n v="7.133592736705577E-3"/>
    <n v="3084"/>
    <n v="22"/>
  </r>
  <r>
    <x v="8"/>
    <s v="Poznan - Lawica (EPPO)"/>
    <s v="EPPO"/>
    <n v="0"/>
    <n v="9579"/>
    <n v="0"/>
  </r>
  <r>
    <x v="8"/>
    <s v="Radom (EPRA)"/>
    <s v="EPRA"/>
    <n v="0"/>
    <n v="274"/>
    <n v="0"/>
  </r>
  <r>
    <x v="8"/>
    <s v="Rzeszow - Jasionka (EPRZ)"/>
    <s v="EPRZ"/>
    <n v="0.24234412866270102"/>
    <n v="4539"/>
    <n v="1100"/>
  </r>
  <r>
    <x v="8"/>
    <s v="Szczecin - Goleniów (EPSC)"/>
    <s v="EPSC"/>
    <n v="0"/>
    <n v="1628"/>
    <n v="0"/>
  </r>
  <r>
    <x v="8"/>
    <s v="Olsztyn-Mazury (EPSY)"/>
    <s v="EPSY"/>
    <n v="0"/>
    <n v="362"/>
    <n v="0"/>
  </r>
  <r>
    <x v="8"/>
    <s v="Warszawa - Chopina (EPWA)"/>
    <s v="EPWA"/>
    <n v="0.11003820405874312"/>
    <n v="57062"/>
    <n v="6279"/>
  </r>
  <r>
    <x v="8"/>
    <s v="Wroclaw - Strachowice (EPWR)"/>
    <s v="EPWR"/>
    <n v="0.65972039039831176"/>
    <n v="11373"/>
    <n v="7503"/>
  </r>
  <r>
    <x v="8"/>
    <s v="Zielona Gora - Babimost (EPZG)"/>
    <s v="EPZG"/>
    <n v="0"/>
    <n v="341"/>
    <n v="0"/>
  </r>
  <r>
    <x v="9"/>
    <s v="Stockholm - Arlanda (ESSA)"/>
    <s v="ESSA"/>
    <n v="2.8540600744840069E-3"/>
    <n v="57462"/>
    <n v="164"/>
  </r>
  <r>
    <x v="10"/>
    <s v="Gran Canaria (GCLP)"/>
    <s v="GCLP"/>
    <n v="0.86400410627428936"/>
    <n v="40913"/>
    <n v="35349"/>
  </r>
  <r>
    <x v="10"/>
    <s v="Alicante (LEAL)"/>
    <s v="LEAL"/>
    <n v="0.13196827361197053"/>
    <n v="35554"/>
    <n v="4692"/>
  </r>
  <r>
    <x v="10"/>
    <s v="Barcelona (LEBL)"/>
    <s v="LEBL"/>
    <n v="1.0729136586774473"/>
    <n v="103890"/>
    <n v="111465"/>
  </r>
  <r>
    <x v="10"/>
    <s v="Ibiza (LEIB)"/>
    <s v="LEIB"/>
    <n v="9.6147289464711905E-2"/>
    <n v="23464"/>
    <n v="2256"/>
  </r>
  <r>
    <x v="10"/>
    <s v="Madrid - Barajas (LEMD)"/>
    <s v="LEMD"/>
    <n v="0.60815549706418304"/>
    <n v="123475"/>
    <n v="75092"/>
  </r>
  <r>
    <x v="10"/>
    <s v="Málaga (LEMG)"/>
    <s v="LEMG"/>
    <n v="0.52671843543284436"/>
    <n v="52155"/>
    <n v="27471"/>
  </r>
  <r>
    <x v="10"/>
    <s v="Palma de Mallorca (LEPA)"/>
    <s v="LEPA"/>
    <n v="1.2207279950838181"/>
    <n v="69973"/>
    <n v="85418"/>
  </r>
  <r>
    <x v="11"/>
    <s v="Albert-Bray (LFAQ)"/>
    <s v="LFAQ"/>
    <n v="0"/>
    <n v="558"/>
    <n v="0"/>
  </r>
  <r>
    <x v="11"/>
    <s v="Bordeaux-Mérignac (LFBD)"/>
    <s v="LFBD"/>
    <n v="0.89453525750632656"/>
    <n v="14621"/>
    <n v="13079"/>
  </r>
  <r>
    <x v="11"/>
    <s v="Bergerac-Roumanière (LFBE)"/>
    <s v="LFBE"/>
    <n v="0"/>
    <n v="1052"/>
    <n v="0"/>
  </r>
  <r>
    <x v="11"/>
    <s v="La Rochelle-Ile de Ré (LFBH)"/>
    <s v="LFBH"/>
    <n v="0"/>
    <n v="1420"/>
    <n v="0"/>
  </r>
  <r>
    <x v="11"/>
    <s v="Poitiers-Biard (LFBI)"/>
    <s v="LFBI"/>
    <n v="3.9408866995073892E-2"/>
    <n v="1015"/>
    <n v="40"/>
  </r>
  <r>
    <x v="11"/>
    <s v="Limoges-Bellegarde (LFBL)"/>
    <s v="LFBL"/>
    <n v="2.9882604055496264E-2"/>
    <n v="1874"/>
    <n v="56"/>
  </r>
  <r>
    <x v="11"/>
    <s v="Toulouse-Blagnac (LFBO)"/>
    <s v="LFBO"/>
    <n v="0.67069591603243295"/>
    <n v="20103"/>
    <n v="13483"/>
  </r>
  <r>
    <x v="11"/>
    <s v="Pau-Pyrénées (LFBP)"/>
    <s v="LFBP"/>
    <n v="0"/>
    <n v="2132"/>
    <n v="0"/>
  </r>
  <r>
    <x v="11"/>
    <s v="Tarbes-Lourdes Pyrénées (LFBT)"/>
    <s v="LFBT"/>
    <n v="0.26147278548559233"/>
    <n v="1874"/>
    <n v="490"/>
  </r>
  <r>
    <x v="11"/>
    <s v="Biarritz-Bayonne-Anglet (LFBZ)"/>
    <s v="LFBZ"/>
    <n v="0"/>
    <n v="3522"/>
    <n v="0"/>
  </r>
  <r>
    <x v="11"/>
    <s v="Rodez-Marcillac (LFCR)"/>
    <s v="LFCR"/>
    <n v="0"/>
    <n v="1126"/>
    <n v="0"/>
  </r>
  <r>
    <x v="11"/>
    <s v="Dôle-Tavaux (LFGJ)"/>
    <s v="LFGJ"/>
    <n v="0"/>
    <n v="812"/>
    <n v="0"/>
  </r>
  <r>
    <x v="11"/>
    <s v="Metz-Nancy-Lorraine (LFJL)"/>
    <s v="LFJL"/>
    <n v="0"/>
    <n v="606"/>
    <n v="0"/>
  </r>
  <r>
    <x v="11"/>
    <s v="Bastia-Poretta (LFKB)"/>
    <s v="LFKB"/>
    <n v="2.5296964364276288E-2"/>
    <n v="4546"/>
    <n v="115"/>
  </r>
  <r>
    <x v="11"/>
    <s v="Calvi-Sainte-Catherine (LFKC)"/>
    <s v="LFKC"/>
    <n v="0.11779704232534421"/>
    <n v="1961"/>
    <n v="231"/>
  </r>
  <r>
    <x v="11"/>
    <s v="Figari-Sud Corse (LFKF)"/>
    <s v="LFKF"/>
    <n v="0.10014992503748125"/>
    <n v="3335"/>
    <n v="334"/>
  </r>
  <r>
    <x v="11"/>
    <s v="Ajaccio-Napoléon-Bonaparte (LFKJ)"/>
    <s v="LFKJ"/>
    <n v="1.9222367846221056E-2"/>
    <n v="4578"/>
    <n v="88"/>
  </r>
  <r>
    <x v="11"/>
    <s v="Chambéry-Aix-les-Bains (LFLB)"/>
    <s v="LFLB"/>
    <n v="1.0439267886855241"/>
    <n v="3005"/>
    <n v="3137"/>
  </r>
  <r>
    <x v="11"/>
    <s v="Clermont-Ferrand-Auvergne (LFLC)"/>
    <s v="LFLC"/>
    <n v="7.8936435396759451E-3"/>
    <n v="2407"/>
    <n v="19"/>
  </r>
  <r>
    <x v="11"/>
    <s v="Lyon-Saint-Exupéry (LFLL)"/>
    <s v="LFLL"/>
    <n v="8.971729896001172E-3"/>
    <n v="27308"/>
    <n v="245"/>
  </r>
  <r>
    <x v="11"/>
    <s v="Annecy-Meythet (LFLP)"/>
    <s v="LFLP"/>
    <n v="0.30865384615384617"/>
    <n v="1040"/>
    <n v="321"/>
  </r>
  <r>
    <x v="11"/>
    <s v="Grenoble-Isère (LFLS)"/>
    <s v="LFLS"/>
    <n v="1.4794422595638184"/>
    <n v="2797"/>
    <n v="4138"/>
  </r>
  <r>
    <x v="11"/>
    <s v="Châteauroux-Déols (LFLX)"/>
    <s v="LFLX"/>
    <n v="0"/>
    <n v="576"/>
    <n v="0"/>
  </r>
  <r>
    <x v="11"/>
    <s v="Lyon-Bron (LFLY)"/>
    <s v="LFLY"/>
    <n v="0"/>
    <n v="2538"/>
    <n v="0"/>
  </r>
  <r>
    <x v="11"/>
    <s v="Cannes-Mandelieu (LFMD)"/>
    <s v="LFMD"/>
    <n v="3.2741261815783687"/>
    <n v="4549"/>
    <n v="14894"/>
  </r>
  <r>
    <x v="11"/>
    <s v="Istres-Le Tubé (LFMI)"/>
    <s v="LFMI"/>
    <n v="0"/>
    <n v="1315"/>
    <n v="0"/>
  </r>
  <r>
    <x v="11"/>
    <s v="Carcassonne-Salvaza (LFMK)"/>
    <s v="LFMK"/>
    <n v="0"/>
    <n v="1433"/>
    <n v="0"/>
  </r>
  <r>
    <x v="11"/>
    <s v="Marseille-Provence (LFML)"/>
    <s v="LFML"/>
    <n v="0.61715150264768581"/>
    <n v="29082"/>
    <n v="17948"/>
  </r>
  <r>
    <x v="11"/>
    <s v="Nice-Côte d’Azur (LFMN)"/>
    <s v="LFMN"/>
    <n v="4.14428658550358"/>
    <n v="44273"/>
    <n v="183480"/>
  </r>
  <r>
    <x v="11"/>
    <s v="Perpignan-Rivesaltes (LFMP)"/>
    <s v="LFMP"/>
    <n v="5.1508686376104847E-2"/>
    <n v="3281"/>
    <n v="169"/>
  </r>
  <r>
    <x v="11"/>
    <s v="Montpellier-Méditerranée (LFMT)"/>
    <s v="LFMT"/>
    <n v="0"/>
    <n v="7413"/>
    <n v="0"/>
  </r>
  <r>
    <x v="11"/>
    <s v="Béziers-Vias (LFMU)"/>
    <s v="LFMU"/>
    <n v="0"/>
    <n v="2079"/>
    <n v="0"/>
  </r>
  <r>
    <x v="11"/>
    <s v="Avignon-Caumont (LFMV)"/>
    <s v="LFMV"/>
    <n v="1.3750462791558682"/>
    <n v="2701"/>
    <n v="3714"/>
  </r>
  <r>
    <x v="11"/>
    <s v="Beauvais-Tillé (LFOB)"/>
    <s v="LFOB"/>
    <n v="0.33488604225586427"/>
    <n v="12022"/>
    <n v="4026"/>
  </r>
  <r>
    <x v="11"/>
    <s v="Châlons-Vatry (LFOK)"/>
    <s v="LFOK"/>
    <n v="0"/>
    <n v="821"/>
    <n v="0"/>
  </r>
  <r>
    <x v="11"/>
    <s v="Tours-Val de Loire (LFOT)"/>
    <s v="LFOT"/>
    <n v="0.10998552821997105"/>
    <n v="1382"/>
    <n v="152"/>
  </r>
  <r>
    <x v="11"/>
    <s v="Paris-Le Bourget (LFPB)"/>
    <s v="LFPB"/>
    <n v="1.7612278055007544"/>
    <n v="17234"/>
    <n v="30353"/>
  </r>
  <r>
    <x v="11"/>
    <s v="Paris-Charles-de-Gaulle (LFPG)"/>
    <s v="LFPG"/>
    <n v="0.40394235306929976"/>
    <n v="137735"/>
    <n v="55637"/>
  </r>
  <r>
    <x v="11"/>
    <s v="Toussus-le-Noble (LFPN)"/>
    <s v="LFPN"/>
    <n v="2.6320881483472185"/>
    <n v="3721"/>
    <n v="9794"/>
  </r>
  <r>
    <x v="11"/>
    <s v="Paris-Orly (LFPO)"/>
    <s v="LFPO"/>
    <n v="0.97901054286952194"/>
    <n v="62317"/>
    <n v="61009"/>
  </r>
  <r>
    <x v="11"/>
    <s v="Lille-Lesquin (LFQQ)"/>
    <s v="LFQQ"/>
    <n v="3.9701074264362445E-3"/>
    <n v="4282"/>
    <n v="17"/>
  </r>
  <r>
    <x v="11"/>
    <s v="Brest-Bretagne (LFRB)"/>
    <s v="LFRB"/>
    <n v="0"/>
    <n v="3909"/>
    <n v="0"/>
  </r>
  <r>
    <x v="11"/>
    <s v="Deauville-Normandie (LFRG)"/>
    <s v="LFRG"/>
    <n v="0.14068825910931174"/>
    <n v="988"/>
    <n v="139"/>
  </r>
  <r>
    <x v="11"/>
    <s v="Lorient-Lann Bihoué (LFRH)"/>
    <s v="LFRH"/>
    <n v="0"/>
    <n v="1212"/>
    <n v="0"/>
  </r>
  <r>
    <x v="11"/>
    <s v="Caen-Carpiquet (LFRK)"/>
    <s v="LFRK"/>
    <n v="7.8381795195954493E-2"/>
    <n v="1582"/>
    <n v="124"/>
  </r>
  <r>
    <x v="11"/>
    <s v="Rennes-Saint-Jacques (LFRN)"/>
    <s v="LFRN"/>
    <n v="0"/>
    <n v="3315"/>
    <n v="0"/>
  </r>
  <r>
    <x v="11"/>
    <s v="Quimper-Pluguffan (LFRQ)"/>
    <s v="LFRQ"/>
    <n v="0"/>
    <n v="355"/>
    <n v="0"/>
  </r>
  <r>
    <x v="11"/>
    <s v="Nantes-Atlantique (LFRS)"/>
    <s v="LFRS"/>
    <n v="0.2912779698610477"/>
    <n v="15329"/>
    <n v="4465"/>
  </r>
  <r>
    <x v="11"/>
    <s v="Saint-Nazaire-Montoir (LFRZ)"/>
    <s v="LFRZ"/>
    <n v="0"/>
    <n v="925"/>
    <n v="0"/>
  </r>
  <r>
    <x v="11"/>
    <s v="Bâle-Mulhouse (LFSB)"/>
    <s v="LFSB"/>
    <n v="4.1633483762498896E-2"/>
    <n v="22602"/>
    <n v="941"/>
  </r>
  <r>
    <x v="11"/>
    <s v="Brive-Souillac (LFSL)"/>
    <s v="LFSL"/>
    <n v="0"/>
    <n v="1056"/>
    <n v="0"/>
  </r>
  <r>
    <x v="11"/>
    <s v="Strasbourg-Entzheim (LFST)"/>
    <s v="LFST"/>
    <n v="0.32969083155650319"/>
    <n v="3752"/>
    <n v="1237"/>
  </r>
  <r>
    <x v="11"/>
    <s v="Hyères-Le Palyvestre (LFTH)"/>
    <s v="LFTH"/>
    <n v="0.7609057609057609"/>
    <n v="3003"/>
    <n v="2285"/>
  </r>
  <r>
    <x v="11"/>
    <s v="Nîmes-Garons (LFTW)"/>
    <s v="LFTW"/>
    <n v="0"/>
    <n v="2070"/>
    <n v="0"/>
  </r>
  <r>
    <x v="12"/>
    <s v="Athens (LGAV)"/>
    <s v="LGAV"/>
    <n v="6.1971683539940505"/>
    <n v="78329"/>
    <n v="485418"/>
  </r>
  <r>
    <x v="13"/>
    <s v="Budapest - Ferihegy (LHBP)"/>
    <s v="LHBP"/>
    <n v="5.5431518977596432E-3"/>
    <n v="38967"/>
    <n v="216"/>
  </r>
  <r>
    <x v="14"/>
    <s v="Crotone (LIBC)"/>
    <s v="LIBC"/>
    <n v="0"/>
    <n v="795"/>
    <n v="0"/>
  </r>
  <r>
    <x v="14"/>
    <s v="Bari Karol Wojtyla (LIBD)"/>
    <s v="LIBD"/>
    <n v="0"/>
    <n v="15244"/>
    <n v="0"/>
  </r>
  <r>
    <x v="14"/>
    <s v="Foggia - Gino Lisa (LIBF)"/>
    <s v="LIBF"/>
    <n v="0"/>
    <n v="608"/>
    <n v="0"/>
  </r>
  <r>
    <x v="14"/>
    <s v="Taranto-Grottaglie - Marcello Arlotta (LIBG)"/>
    <s v="LIBG"/>
    <n v="0.12264150943396226"/>
    <n v="212"/>
    <n v="26"/>
  </r>
  <r>
    <x v="14"/>
    <s v="Pescara International (LIBP)"/>
    <s v="LIBP"/>
    <n v="0"/>
    <n v="2147"/>
    <n v="0"/>
  </r>
  <r>
    <x v="14"/>
    <s v="Brindisi (LIBR)"/>
    <s v="LIBR"/>
    <n v="0"/>
    <n v="6946"/>
    <n v="0"/>
  </r>
  <r>
    <x v="14"/>
    <s v="Lamezia Terme (LICA)"/>
    <s v="LICA"/>
    <n v="3.2573289902280132E-3"/>
    <n v="6447"/>
    <n v="21"/>
  </r>
  <r>
    <x v="14"/>
    <s v="Comiso (LICB)"/>
    <s v="LICB"/>
    <n v="0.21568627450980393"/>
    <n v="561"/>
    <n v="121"/>
  </r>
  <r>
    <x v="14"/>
    <s v="Catania (LICC)"/>
    <s v="LICC"/>
    <n v="0.33400204883045925"/>
    <n v="23428"/>
    <n v="7825"/>
  </r>
  <r>
    <x v="14"/>
    <s v="Lampedusa (LICD)"/>
    <s v="LICD"/>
    <n v="0"/>
    <n v="1240"/>
    <n v="0"/>
  </r>
  <r>
    <x v="14"/>
    <s v="Pantelleria (LICG)"/>
    <s v="LICG"/>
    <n v="0"/>
    <n v="1141"/>
    <n v="0"/>
  </r>
  <r>
    <x v="14"/>
    <s v="Palermo Falcone-Borsellino (LICJ)"/>
    <s v="LICJ"/>
    <n v="4.7816935614442224E-2"/>
    <n v="18529"/>
    <n v="886"/>
  </r>
  <r>
    <x v="14"/>
    <s v="Reggio Calabria (LICR)"/>
    <s v="LICR"/>
    <n v="0"/>
    <n v="2264"/>
    <n v="0"/>
  </r>
  <r>
    <x v="14"/>
    <s v="Vincenzo Florio Trapani-Birgi (LICT)"/>
    <s v="LICT"/>
    <n v="0"/>
    <n v="2455"/>
    <n v="0"/>
  </r>
  <r>
    <x v="14"/>
    <s v="Alghero-Fertilia (LIEA)"/>
    <s v="LIEA"/>
    <n v="2.652519893899204E-4"/>
    <n v="3770"/>
    <n v="1"/>
  </r>
  <r>
    <x v="14"/>
    <s v="Cagliari Elmas (LIEE)"/>
    <s v="LIEE"/>
    <n v="3.27089995431704E-2"/>
    <n v="10945"/>
    <n v="358"/>
  </r>
  <r>
    <x v="14"/>
    <s v="Olbia Costa Smeralda (LIEO)"/>
    <s v="LIEO"/>
    <n v="0.64008565310492505"/>
    <n v="11675"/>
    <n v="7473"/>
  </r>
  <r>
    <x v="14"/>
    <s v="Torino-Aeritalia (LIMA)"/>
    <s v="LIMA"/>
    <n v="0"/>
    <n v="116"/>
    <n v="0"/>
  </r>
  <r>
    <x v="14"/>
    <s v="Milan - Malpensa (LIMC)"/>
    <s v="LIMC"/>
    <n v="0.31822418292531379"/>
    <n v="64376"/>
    <n v="20486"/>
  </r>
  <r>
    <x v="14"/>
    <s v="Bergamo (LIME)"/>
    <s v="LIME"/>
    <n v="0.19321391778272573"/>
    <n v="30091"/>
    <n v="5814"/>
  </r>
  <r>
    <x v="14"/>
    <s v="Torino Caselle (LIMF)"/>
    <s v="LIMF"/>
    <n v="1.7018379850238256E-4"/>
    <n v="11752"/>
    <n v="2"/>
  </r>
  <r>
    <x v="14"/>
    <s v="Villanova D Albenga International (LIMG)"/>
    <s v="LIMG"/>
    <n v="0"/>
    <n v="218"/>
    <n v="0"/>
  </r>
  <r>
    <x v="14"/>
    <s v="Genoa Cristoforo Colombo (LIMJ)"/>
    <s v="LIMJ"/>
    <n v="0"/>
    <n v="4625"/>
    <n v="0"/>
  </r>
  <r>
    <x v="14"/>
    <s v="Milan - Linate (LIML)"/>
    <s v="LIML"/>
    <n v="0.40639411515065782"/>
    <n v="35345"/>
    <n v="14364"/>
  </r>
  <r>
    <x v="14"/>
    <s v="Parma (LIMP)"/>
    <s v="LIMP"/>
    <n v="0"/>
    <n v="869"/>
    <n v="0"/>
  </r>
  <r>
    <x v="14"/>
    <s v="Aosta (LIMW)"/>
    <s v="LIMW"/>
    <n v="0"/>
    <n v="41"/>
    <n v="0"/>
  </r>
  <r>
    <x v="14"/>
    <s v="Cuneo International (LIMZ)"/>
    <s v="LIMZ"/>
    <n v="0"/>
    <n v="646"/>
    <n v="0"/>
  </r>
  <r>
    <x v="14"/>
    <s v="Bolzano (LIPB)"/>
    <s v="LIPB"/>
    <n v="0"/>
    <n v="1945"/>
    <n v="0"/>
  </r>
  <r>
    <x v="14"/>
    <s v="Bologna (LIPE)"/>
    <s v="LIPE"/>
    <n v="6.0019638327469108E-2"/>
    <n v="24442"/>
    <n v="1467"/>
  </r>
  <r>
    <x v="14"/>
    <s v="Treviso (LIPH)"/>
    <s v="LIPH"/>
    <n v="0"/>
    <n v="6054"/>
    <n v="0"/>
  </r>
  <r>
    <x v="14"/>
    <s v="Forlì (LIPK)"/>
    <s v="LIPK"/>
    <n v="0"/>
    <n v="642"/>
    <n v="0"/>
  </r>
  <r>
    <x v="14"/>
    <s v="Brescia (LIPO)"/>
    <s v="LIPO"/>
    <n v="0"/>
    <n v="1906"/>
    <n v="0"/>
  </r>
  <r>
    <x v="14"/>
    <s v="Trieste¿Friuli Venezia Giulia (LIPQ)"/>
    <s v="LIPQ"/>
    <n v="0"/>
    <n v="4053"/>
    <n v="0"/>
  </r>
  <r>
    <x v="14"/>
    <s v="Federico Fellini International (LIPR)"/>
    <s v="LIPR"/>
    <n v="1.5267175572519084E-3"/>
    <n v="1310"/>
    <n v="2"/>
  </r>
  <r>
    <x v="14"/>
    <s v="Padova (LIPU)"/>
    <s v="LIPU"/>
    <n v="0"/>
    <n v="105"/>
    <n v="0"/>
  </r>
  <r>
    <x v="14"/>
    <s v="Venice-Lido (LIPV)"/>
    <s v="LIPV"/>
    <n v="0"/>
    <n v="194"/>
    <n v="0"/>
  </r>
  <r>
    <x v="14"/>
    <s v="Verona Villafranca (LIPX)"/>
    <s v="LIPX"/>
    <n v="8.1743253923450374E-2"/>
    <n v="8857"/>
    <n v="724"/>
  </r>
  <r>
    <x v="14"/>
    <s v="Ancona Falconara (LIPY)"/>
    <s v="LIPY"/>
    <n v="2.3866348448687352E-3"/>
    <n v="2514"/>
    <n v="6"/>
  </r>
  <r>
    <x v="14"/>
    <s v="Venice (LIPZ)"/>
    <s v="LIPZ"/>
    <n v="0.16252785737026423"/>
    <n v="25128"/>
    <n v="4084"/>
  </r>
  <r>
    <x v="14"/>
    <s v="Rieti (LIQN)"/>
    <s v="LIQN"/>
    <n v="0"/>
    <n v="3"/>
    <n v="0"/>
  </r>
  <r>
    <x v="14"/>
    <s v="Rome - Ciampino (LIRA)"/>
    <s v="LIRA"/>
    <n v="0.21097384886892348"/>
    <n v="12466"/>
    <n v="2630"/>
  </r>
  <r>
    <x v="14"/>
    <s v="Rome - Fiumicino (LIRF)"/>
    <s v="LIRF"/>
    <n v="3.4274409154101168E-2"/>
    <n v="93510"/>
    <n v="3205"/>
  </r>
  <r>
    <x v="14"/>
    <s v="Salerno Costa d Amalfi (LIRI)"/>
    <s v="LIRI"/>
    <n v="0.11398963730569948"/>
    <n v="1930"/>
    <n v="220"/>
  </r>
  <r>
    <x v="14"/>
    <s v="Naples (LIRN)"/>
    <s v="LIRN"/>
    <n v="2.0904855415655925"/>
    <n v="25971"/>
    <n v="54292"/>
  </r>
  <r>
    <x v="14"/>
    <s v="Pisa San Giusto (LIRP)"/>
    <s v="LIRP"/>
    <n v="0.30640335128665469"/>
    <n v="13368"/>
    <n v="4096"/>
  </r>
  <r>
    <x v="14"/>
    <s v="Firenze Peretola (LIRQ)"/>
    <s v="LIRQ"/>
    <n v="0.3487948314420608"/>
    <n v="12073"/>
    <n v="4211"/>
  </r>
  <r>
    <x v="14"/>
    <s v="Grosseto Air Base (LIRS)"/>
    <s v="LIRS"/>
    <n v="0"/>
    <n v="693"/>
    <n v="0"/>
  </r>
  <r>
    <x v="14"/>
    <s v="Urbe (LIRU)"/>
    <s v="LIRU"/>
    <n v="0"/>
    <n v="372"/>
    <n v="0"/>
  </r>
  <r>
    <x v="14"/>
    <s v="Perugia San Francesco d Assisi ¿ Umbria Internat (LIRZ)"/>
    <s v="LIRZ"/>
    <n v="0"/>
    <n v="1991"/>
    <n v="0"/>
  </r>
  <r>
    <x v="15"/>
    <s v="Prague (LKPR)"/>
    <s v="LKPR"/>
    <n v="0.37049171869356584"/>
    <n v="38762"/>
    <n v="14361"/>
  </r>
  <r>
    <x v="16"/>
    <s v="Malta (LMML)"/>
    <s v="LMML"/>
    <n v="7.2194561470700885E-2"/>
    <n v="20888"/>
    <n v="1508"/>
  </r>
  <r>
    <x v="17"/>
    <s v="Graz (LOWG)"/>
    <s v="LOWG"/>
    <n v="7.7220077220077222E-3"/>
    <n v="4144"/>
    <n v="32"/>
  </r>
  <r>
    <x v="17"/>
    <s v="Innsbruck (LOWI)"/>
    <s v="LOWI"/>
    <n v="0.54965930208548419"/>
    <n v="4843"/>
    <n v="2662"/>
  </r>
  <r>
    <x v="17"/>
    <s v="Klagenfurt (LOWK)"/>
    <s v="LOWK"/>
    <n v="0"/>
    <n v="1537"/>
    <n v="0"/>
  </r>
  <r>
    <x v="17"/>
    <s v="Linz (LOWL)"/>
    <s v="LOWL"/>
    <n v="0"/>
    <n v="3160"/>
    <n v="0"/>
  </r>
  <r>
    <x v="17"/>
    <s v="Salzburg (LOWS)"/>
    <s v="LOWS"/>
    <n v="8.4872690963554674E-3"/>
    <n v="8012"/>
    <n v="68"/>
  </r>
  <r>
    <x v="17"/>
    <s v="Vienna (LOWW)"/>
    <s v="LOWW"/>
    <n v="0.87303754266211608"/>
    <n v="71785"/>
    <n v="62671"/>
  </r>
  <r>
    <x v="18"/>
    <s v="Santa Maria (LPAZ)"/>
    <s v="LPAZ"/>
    <n v="0"/>
    <n v="795"/>
    <n v="0"/>
  </r>
  <r>
    <x v="18"/>
    <s v="Cascais (LPCS)"/>
    <s v="LPCS"/>
    <n v="0"/>
    <n v="1897"/>
    <n v="0"/>
  </r>
  <r>
    <x v="18"/>
    <s v="Flores (LPFL)"/>
    <s v="LPFL"/>
    <n v="0"/>
    <n v="642"/>
    <n v="0"/>
  </r>
  <r>
    <x v="18"/>
    <s v="Faro (LPFR)"/>
    <s v="LPFR"/>
    <n v="1.8617938235728711E-2"/>
    <n v="20303"/>
    <n v="378"/>
  </r>
  <r>
    <x v="18"/>
    <s v="Horta (LPHR)"/>
    <s v="LPHR"/>
    <n v="0"/>
    <n v="1633"/>
    <n v="0"/>
  </r>
  <r>
    <x v="18"/>
    <s v="Madeira (LPMA)"/>
    <s v="LPMA"/>
    <n v="0.28362489245770001"/>
    <n v="10461"/>
    <n v="2967"/>
  </r>
  <r>
    <x v="18"/>
    <s v="Ponta Delgada (LPPD)"/>
    <s v="LPPD"/>
    <n v="0"/>
    <n v="7993"/>
    <n v="0"/>
  </r>
  <r>
    <x v="18"/>
    <s v="Porto (LPPR)"/>
    <s v="LPPR"/>
    <n v="1.9611204796702266"/>
    <n v="32022"/>
    <n v="62799"/>
  </r>
  <r>
    <x v="18"/>
    <s v="Porto Santo (LPPS)"/>
    <s v="LPPS"/>
    <n v="0"/>
    <n v="882"/>
    <n v="0"/>
  </r>
  <r>
    <x v="18"/>
    <s v="Lisbon (LPPT)"/>
    <s v="LPPT"/>
    <n v="3.1958043010429051"/>
    <n v="66449"/>
    <n v="212358"/>
  </r>
  <r>
    <x v="19"/>
    <s v="Bacau (LRBC)"/>
    <s v="LRBC"/>
    <n v="0"/>
    <n v="1305"/>
    <n v="0"/>
  </r>
  <r>
    <x v="19"/>
    <s v="Bucharest - Băneasa (LRBS)"/>
    <s v="LRBS"/>
    <n v="0"/>
    <n v="2312"/>
    <n v="0"/>
  </r>
  <r>
    <x v="19"/>
    <s v="Mihail Kogalniceanu International (LRCK)"/>
    <s v="LRCK"/>
    <n v="0"/>
    <n v="1091"/>
    <n v="0"/>
  </r>
  <r>
    <x v="19"/>
    <s v="Cluj-Napoca International (LRCL)"/>
    <s v="LRCL"/>
    <n v="0"/>
    <n v="8123"/>
    <n v="0"/>
  </r>
  <r>
    <x v="19"/>
    <s v="Craiova (LRCV)"/>
    <s v="LRCV"/>
    <n v="0"/>
    <n v="1239"/>
    <n v="0"/>
  </r>
  <r>
    <x v="19"/>
    <s v="Iasi (LRIA)"/>
    <s v="LRIA"/>
    <n v="0"/>
    <n v="4766"/>
    <n v="0"/>
  </r>
  <r>
    <x v="19"/>
    <s v="Bucharest - Otopeni (LROP)"/>
    <s v="LROP"/>
    <n v="0.33480854878014621"/>
    <n v="35701"/>
    <n v="11953"/>
  </r>
  <r>
    <x v="19"/>
    <s v="Sibiu International (LRSB)"/>
    <s v="LRSB"/>
    <n v="0"/>
    <n v="1518"/>
    <n v="0"/>
  </r>
  <r>
    <x v="19"/>
    <s v="Suceava Stefan cel Mare (LRSV)"/>
    <s v="LRSV"/>
    <n v="0"/>
    <n v="1555"/>
    <n v="0"/>
  </r>
  <r>
    <x v="19"/>
    <s v="Tulcea (LRTC)"/>
    <s v="LRTC"/>
    <n v="0"/>
    <n v="35"/>
    <n v="0"/>
  </r>
  <r>
    <x v="19"/>
    <s v="Transilvania Târgu Mures International (LRTM)"/>
    <s v="LRTM"/>
    <n v="0"/>
    <n v="337"/>
    <n v="0"/>
  </r>
  <r>
    <x v="20"/>
    <s v="Geneva (LSGG)"/>
    <s v="LSGG"/>
    <n v="0.91996370951836215"/>
    <n v="50702"/>
    <n v="46644"/>
  </r>
  <r>
    <x v="20"/>
    <s v="Zürich (LSZH)"/>
    <s v="LSZH"/>
    <n v="2.8292156580651069"/>
    <n v="76459"/>
    <n v="216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38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45887</v>
      </c>
      <c r="C2" s="9" t="s">
        <v>5</v>
      </c>
      <c r="D2" s="10">
        <v>45869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8</v>
      </c>
      <c r="F3" s="16" t="s">
        <v>10</v>
      </c>
    </row>
    <row r="4" spans="1:6" ht="12" customHeight="1" x14ac:dyDescent="0.2">
      <c r="A4" s="17" t="s">
        <v>11</v>
      </c>
      <c r="B4" s="18" t="s">
        <v>12</v>
      </c>
      <c r="C4" s="15"/>
      <c r="D4" s="19"/>
      <c r="E4" s="20" t="s">
        <v>8</v>
      </c>
      <c r="F4" s="21"/>
    </row>
    <row r="5" spans="1:6" ht="38.25" customHeight="1" x14ac:dyDescent="0.2">
      <c r="A5" s="22" t="s">
        <v>13</v>
      </c>
      <c r="B5" s="23" t="s">
        <v>14</v>
      </c>
      <c r="C5" s="23" t="s">
        <v>15</v>
      </c>
      <c r="D5" s="23" t="s">
        <v>16</v>
      </c>
      <c r="F5" s="20" t="s">
        <v>8</v>
      </c>
    </row>
    <row r="6" spans="1:6" ht="12" customHeight="1" x14ac:dyDescent="0.2">
      <c r="A6" s="24" t="s">
        <v>17</v>
      </c>
      <c r="B6" s="25">
        <f t="shared" ref="B6:B12" si="0">D6/C6</f>
        <v>0.84703318042484155</v>
      </c>
      <c r="C6" s="26">
        <v>3343176</v>
      </c>
      <c r="D6" s="26">
        <v>2831781</v>
      </c>
      <c r="E6" s="27" t="s">
        <v>8</v>
      </c>
      <c r="F6" s="21"/>
    </row>
    <row r="7" spans="1:6" ht="12" customHeight="1" x14ac:dyDescent="0.2">
      <c r="A7" s="24" t="s">
        <v>18</v>
      </c>
      <c r="B7" s="25">
        <f t="shared" si="0"/>
        <v>0.40147406602753899</v>
      </c>
      <c r="C7" s="26">
        <v>1476596</v>
      </c>
      <c r="D7" s="26">
        <v>592815</v>
      </c>
      <c r="E7" s="27" t="s">
        <v>9</v>
      </c>
      <c r="F7" s="21"/>
    </row>
    <row r="8" spans="1:6" ht="12" customHeight="1" x14ac:dyDescent="0.2">
      <c r="A8" s="24" t="s">
        <v>19</v>
      </c>
      <c r="B8" s="25">
        <f t="shared" si="0"/>
        <v>0.13374238567620605</v>
      </c>
      <c r="C8" s="26">
        <v>1331044</v>
      </c>
      <c r="D8" s="26">
        <v>178017</v>
      </c>
      <c r="F8" s="21"/>
    </row>
    <row r="9" spans="1:6" ht="12" customHeight="1" x14ac:dyDescent="0.2">
      <c r="A9" s="24" t="s">
        <v>20</v>
      </c>
      <c r="B9" s="25">
        <f t="shared" si="0"/>
        <v>0.43362768327720241</v>
      </c>
      <c r="C9" s="26">
        <v>2716268</v>
      </c>
      <c r="D9" s="26">
        <v>1177849</v>
      </c>
      <c r="F9" s="20" t="s">
        <v>10</v>
      </c>
    </row>
    <row r="10" spans="1:6" ht="12" customHeight="1" x14ac:dyDescent="0.2">
      <c r="A10" s="24" t="s">
        <v>21</v>
      </c>
      <c r="B10" s="25">
        <f t="shared" si="0"/>
        <v>0.8342271989293607</v>
      </c>
      <c r="C10" s="26">
        <v>3000824</v>
      </c>
      <c r="D10" s="26">
        <v>2503369</v>
      </c>
      <c r="E10" s="27" t="s">
        <v>8</v>
      </c>
      <c r="F10" s="21"/>
    </row>
    <row r="11" spans="1:6" ht="12" customHeight="1" x14ac:dyDescent="0.2">
      <c r="A11" s="24" t="s">
        <v>22</v>
      </c>
      <c r="B11" s="25">
        <f t="shared" si="0"/>
        <v>0.7993368276697177</v>
      </c>
      <c r="C11" s="26">
        <v>3184391</v>
      </c>
      <c r="D11" s="26">
        <v>2545401</v>
      </c>
      <c r="F11" s="21"/>
    </row>
    <row r="12" spans="1:6" ht="12" customHeight="1" x14ac:dyDescent="0.2">
      <c r="A12" s="24" t="s">
        <v>23</v>
      </c>
      <c r="B12" s="25">
        <f t="shared" si="0"/>
        <v>0.91048281478375281</v>
      </c>
      <c r="C12" s="26">
        <v>3290910</v>
      </c>
      <c r="D12" s="26">
        <v>2996317</v>
      </c>
      <c r="F1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45887</v>
      </c>
      <c r="C2" s="9" t="s">
        <v>5</v>
      </c>
      <c r="D2" s="10">
        <f>APT_ATFM_SES_YY!D2</f>
        <v>45869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/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24</v>
      </c>
      <c r="B5" s="42" t="s">
        <v>14</v>
      </c>
      <c r="C5" s="42" t="s">
        <v>15</v>
      </c>
      <c r="D5" s="42" t="s">
        <v>16</v>
      </c>
      <c r="E5" s="43" t="s">
        <v>25</v>
      </c>
      <c r="F5" s="42" t="s">
        <v>26</v>
      </c>
      <c r="G5" s="44"/>
    </row>
    <row r="6" spans="1:7" ht="12" customHeight="1" x14ac:dyDescent="0.2">
      <c r="A6" s="45" t="s">
        <v>27</v>
      </c>
      <c r="B6" s="46">
        <f t="shared" ref="B6:B84" si="0">D6/C6</f>
        <v>0.48405778763021562</v>
      </c>
      <c r="C6" s="26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28</v>
      </c>
      <c r="B7" s="46">
        <f t="shared" si="0"/>
        <v>0.46387881759415767</v>
      </c>
      <c r="C7" s="26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29</v>
      </c>
      <c r="B8" s="46">
        <f t="shared" si="0"/>
        <v>0.98730215786931463</v>
      </c>
      <c r="C8" s="26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30</v>
      </c>
      <c r="B9" s="46">
        <f t="shared" si="0"/>
        <v>0.69742196128582223</v>
      </c>
      <c r="C9" s="26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31</v>
      </c>
      <c r="B10" s="46">
        <f t="shared" si="0"/>
        <v>1.0032686281001917</v>
      </c>
      <c r="C10" s="26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32</v>
      </c>
      <c r="B11" s="46">
        <f t="shared" si="0"/>
        <v>1.0862324025010992</v>
      </c>
      <c r="C11" s="26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33</v>
      </c>
      <c r="B12" s="46">
        <f t="shared" si="0"/>
        <v>1.0210182997715866</v>
      </c>
      <c r="C12" s="26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34</v>
      </c>
      <c r="B13" s="46">
        <f t="shared" si="0"/>
        <v>0.80324546565258004</v>
      </c>
      <c r="C13" s="26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35</v>
      </c>
      <c r="B14" s="46">
        <f t="shared" si="0"/>
        <v>0.91895492947262647</v>
      </c>
      <c r="C14" s="26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36</v>
      </c>
      <c r="B15" s="46">
        <f t="shared" si="0"/>
        <v>0.76438844010001206</v>
      </c>
      <c r="C15" s="26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37</v>
      </c>
      <c r="B16" s="46">
        <f t="shared" si="0"/>
        <v>0.43035640449224599</v>
      </c>
      <c r="C16" s="26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38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39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40</v>
      </c>
      <c r="B19" s="46">
        <f t="shared" si="0"/>
        <v>0.66073354495735648</v>
      </c>
      <c r="C19" s="26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41</v>
      </c>
      <c r="B20" s="46">
        <f t="shared" si="0"/>
        <v>0.3205258772335895</v>
      </c>
      <c r="C20" s="26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42</v>
      </c>
      <c r="B21" s="46">
        <f t="shared" si="0"/>
        <v>2.7902983472848249E-4</v>
      </c>
      <c r="C21" s="26">
        <v>46590</v>
      </c>
      <c r="D21" s="26">
        <v>13</v>
      </c>
      <c r="E21" s="48"/>
      <c r="F21" s="49">
        <v>1</v>
      </c>
      <c r="G21" s="44"/>
    </row>
    <row r="22" spans="1:7" ht="12" customHeight="1" x14ac:dyDescent="0.2">
      <c r="A22" s="50" t="s">
        <v>43</v>
      </c>
      <c r="B22" s="46">
        <f t="shared" si="0"/>
        <v>7.3213110882437288E-3</v>
      </c>
      <c r="C22" s="26">
        <v>59279</v>
      </c>
      <c r="D22" s="26">
        <v>434</v>
      </c>
      <c r="E22" s="48"/>
      <c r="F22" s="49">
        <v>1</v>
      </c>
      <c r="G22" s="44"/>
    </row>
    <row r="23" spans="1:7" ht="12" customHeight="1" x14ac:dyDescent="0.2">
      <c r="A23" s="50" t="s">
        <v>44</v>
      </c>
      <c r="B23" s="46">
        <f t="shared" si="0"/>
        <v>1.288056206088993E-2</v>
      </c>
      <c r="C23" s="26">
        <v>99064</v>
      </c>
      <c r="D23" s="26">
        <v>1276</v>
      </c>
      <c r="E23" s="48"/>
      <c r="F23" s="49">
        <v>1</v>
      </c>
      <c r="G23" s="44"/>
    </row>
    <row r="24" spans="1:7" ht="12" customHeight="1" x14ac:dyDescent="0.2">
      <c r="A24" s="50" t="s">
        <v>45</v>
      </c>
      <c r="B24" s="46">
        <f t="shared" si="0"/>
        <v>6.0372285232204566E-2</v>
      </c>
      <c r="C24" s="26">
        <v>221658</v>
      </c>
      <c r="D24" s="26">
        <v>13382</v>
      </c>
      <c r="E24" s="48"/>
      <c r="F24" s="49">
        <v>1</v>
      </c>
      <c r="G24" s="44"/>
    </row>
    <row r="25" spans="1:7" ht="12" customHeight="1" x14ac:dyDescent="0.2">
      <c r="A25" s="50" t="s">
        <v>46</v>
      </c>
      <c r="B25" s="46">
        <f t="shared" si="0"/>
        <v>6.2850448352846686E-2</v>
      </c>
      <c r="C25" s="26">
        <v>271438</v>
      </c>
      <c r="D25" s="26">
        <v>17060</v>
      </c>
      <c r="E25" s="48"/>
      <c r="F25" s="49">
        <v>1</v>
      </c>
      <c r="G25" s="44"/>
    </row>
    <row r="26" spans="1:7" ht="12" customHeight="1" x14ac:dyDescent="0.2">
      <c r="A26" s="50" t="s">
        <v>47</v>
      </c>
      <c r="B26" s="46">
        <f t="shared" si="0"/>
        <v>3.1863739309738702E-2</v>
      </c>
      <c r="C26" s="26">
        <v>236664</v>
      </c>
      <c r="D26" s="26">
        <v>7541</v>
      </c>
      <c r="E26" s="48"/>
      <c r="F26" s="49">
        <v>1</v>
      </c>
      <c r="G26" s="44"/>
    </row>
    <row r="27" spans="1:7" ht="12" customHeight="1" x14ac:dyDescent="0.2">
      <c r="A27" s="50" t="s">
        <v>48</v>
      </c>
      <c r="B27" s="46">
        <f t="shared" si="0"/>
        <v>4.9123788667377349E-2</v>
      </c>
      <c r="C27" s="26">
        <v>207313</v>
      </c>
      <c r="D27" s="26">
        <v>10184</v>
      </c>
      <c r="E27" s="48"/>
      <c r="F27" s="49">
        <v>1</v>
      </c>
      <c r="G27" s="44"/>
    </row>
    <row r="28" spans="1:7" ht="12" customHeight="1" x14ac:dyDescent="0.2">
      <c r="A28" s="50" t="s">
        <v>49</v>
      </c>
      <c r="B28" s="46">
        <f t="shared" si="0"/>
        <v>3.0060795503426916E-2</v>
      </c>
      <c r="C28" s="26">
        <v>139484</v>
      </c>
      <c r="D28" s="26">
        <v>4193</v>
      </c>
      <c r="E28" s="48"/>
      <c r="F28" s="49">
        <v>1</v>
      </c>
      <c r="G28" s="44"/>
    </row>
    <row r="29" spans="1:7" ht="12" customHeight="1" x14ac:dyDescent="0.2">
      <c r="A29" s="50" t="s">
        <v>50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51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52</v>
      </c>
      <c r="B31" s="46">
        <f t="shared" si="0"/>
        <v>0.12795425781144812</v>
      </c>
      <c r="C31" s="26">
        <v>111407</v>
      </c>
      <c r="D31" s="26">
        <v>14255</v>
      </c>
      <c r="E31" s="48"/>
      <c r="F31" s="63">
        <v>1</v>
      </c>
      <c r="G31" s="44"/>
    </row>
    <row r="32" spans="1:7" ht="12" customHeight="1" x14ac:dyDescent="0.2">
      <c r="A32" s="50" t="s">
        <v>53</v>
      </c>
      <c r="B32" s="46">
        <f t="shared" si="0"/>
        <v>2.1077127659574469E-2</v>
      </c>
      <c r="C32" s="26">
        <v>135360</v>
      </c>
      <c r="D32" s="26">
        <v>2853</v>
      </c>
      <c r="E32" s="48"/>
      <c r="F32" s="63">
        <v>1</v>
      </c>
      <c r="G32" s="44"/>
    </row>
    <row r="33" spans="1:7" ht="12" customHeight="1" x14ac:dyDescent="0.2">
      <c r="A33" s="50" t="s">
        <v>54</v>
      </c>
      <c r="B33" s="46">
        <f t="shared" si="0"/>
        <v>1.7668688853194569E-2</v>
      </c>
      <c r="C33" s="26">
        <v>150662</v>
      </c>
      <c r="D33" s="26">
        <v>2662</v>
      </c>
      <c r="E33" s="48"/>
      <c r="F33" s="63">
        <v>1</v>
      </c>
      <c r="G33" s="44"/>
    </row>
    <row r="34" spans="1:7" ht="12" customHeight="1" x14ac:dyDescent="0.2">
      <c r="A34" s="50" t="s">
        <v>55</v>
      </c>
      <c r="B34" s="46">
        <f t="shared" si="0"/>
        <v>5.9960911765997625E-2</v>
      </c>
      <c r="C34" s="26">
        <v>182152</v>
      </c>
      <c r="D34" s="26">
        <v>10922</v>
      </c>
      <c r="E34" s="48"/>
      <c r="F34" s="63">
        <v>1</v>
      </c>
      <c r="G34" s="44"/>
    </row>
    <row r="35" spans="1:7" ht="12" customHeight="1" x14ac:dyDescent="0.2">
      <c r="A35" s="50" t="s">
        <v>56</v>
      </c>
      <c r="B35" s="46">
        <f t="shared" si="0"/>
        <v>8.7916102044423503E-2</v>
      </c>
      <c r="C35" s="26">
        <v>254595</v>
      </c>
      <c r="D35" s="26">
        <v>22383</v>
      </c>
      <c r="E35" s="48"/>
      <c r="F35" s="63">
        <v>1</v>
      </c>
      <c r="G35" s="44"/>
    </row>
    <row r="36" spans="1:7" ht="12" customHeight="1" x14ac:dyDescent="0.2">
      <c r="A36" s="50" t="s">
        <v>57</v>
      </c>
      <c r="B36" s="46">
        <f t="shared" si="0"/>
        <v>0.27090188184678682</v>
      </c>
      <c r="C36" s="26">
        <v>361666</v>
      </c>
      <c r="D36" s="26">
        <v>97976</v>
      </c>
      <c r="E36" s="48"/>
      <c r="F36" s="63">
        <v>1</v>
      </c>
      <c r="G36" s="44"/>
    </row>
    <row r="37" spans="1:7" ht="12" customHeight="1" x14ac:dyDescent="0.2">
      <c r="A37" s="50" t="s">
        <v>58</v>
      </c>
      <c r="B37" s="46">
        <f t="shared" si="0"/>
        <v>0.4185031345940507</v>
      </c>
      <c r="C37" s="26">
        <v>387610</v>
      </c>
      <c r="D37" s="26">
        <v>162216</v>
      </c>
      <c r="E37" s="48"/>
      <c r="F37" s="63">
        <v>1</v>
      </c>
      <c r="G37" s="44"/>
    </row>
    <row r="38" spans="1:7" ht="12" customHeight="1" x14ac:dyDescent="0.2">
      <c r="A38" s="50" t="s">
        <v>59</v>
      </c>
      <c r="B38" s="46">
        <f t="shared" si="0"/>
        <v>0.31291709801144424</v>
      </c>
      <c r="C38" s="26">
        <v>369967</v>
      </c>
      <c r="D38" s="26">
        <v>115769</v>
      </c>
      <c r="E38" s="48"/>
      <c r="F38" s="63">
        <v>1</v>
      </c>
      <c r="G38" s="44"/>
    </row>
    <row r="39" spans="1:7" ht="12" customHeight="1" x14ac:dyDescent="0.2">
      <c r="A39" s="50" t="s">
        <v>60</v>
      </c>
      <c r="B39" s="46">
        <f t="shared" si="0"/>
        <v>0.39806451788578262</v>
      </c>
      <c r="C39" s="26">
        <v>367247</v>
      </c>
      <c r="D39" s="26">
        <v>146188</v>
      </c>
      <c r="E39" s="48"/>
      <c r="F39" s="63">
        <v>1</v>
      </c>
      <c r="G39" s="44"/>
    </row>
    <row r="40" spans="1:7" ht="12" customHeight="1" x14ac:dyDescent="0.2">
      <c r="A40" s="50" t="s">
        <v>61</v>
      </c>
      <c r="B40" s="46">
        <f t="shared" si="0"/>
        <v>0.17859831644302893</v>
      </c>
      <c r="C40" s="26">
        <v>322769</v>
      </c>
      <c r="D40" s="26">
        <v>57646</v>
      </c>
      <c r="E40" s="48"/>
      <c r="F40" s="63">
        <v>1</v>
      </c>
      <c r="G40" s="44"/>
    </row>
    <row r="41" spans="1:7" ht="12" customHeight="1" x14ac:dyDescent="0.2">
      <c r="A41" s="50" t="s">
        <v>62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63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64</v>
      </c>
      <c r="B43" s="46">
        <f t="shared" si="0"/>
        <v>0.21872441460618963</v>
      </c>
      <c r="C43" s="26">
        <v>268708</v>
      </c>
      <c r="D43" s="26">
        <v>58773</v>
      </c>
      <c r="E43" s="48"/>
      <c r="F43" s="63">
        <v>1</v>
      </c>
      <c r="G43" s="44"/>
    </row>
    <row r="44" spans="1:7" ht="12" customHeight="1" x14ac:dyDescent="0.2">
      <c r="A44" s="50" t="s">
        <v>65</v>
      </c>
      <c r="B44" s="46">
        <f t="shared" si="0"/>
        <v>0.11441938858537719</v>
      </c>
      <c r="C44" s="26">
        <v>344120</v>
      </c>
      <c r="D44" s="26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66</v>
      </c>
      <c r="B45" s="46">
        <f t="shared" si="0"/>
        <v>0.58515523757434207</v>
      </c>
      <c r="C45" s="26">
        <v>405894</v>
      </c>
      <c r="D45" s="26">
        <v>237511</v>
      </c>
      <c r="E45" s="48"/>
      <c r="F45" s="63">
        <v>1</v>
      </c>
      <c r="G45" s="44"/>
    </row>
    <row r="46" spans="1:7" ht="12" customHeight="1" x14ac:dyDescent="0.2">
      <c r="A46" s="50" t="s">
        <v>67</v>
      </c>
      <c r="B46" s="46">
        <f t="shared" si="0"/>
        <v>0.47120895473395119</v>
      </c>
      <c r="C46" s="26">
        <v>456965</v>
      </c>
      <c r="D46" s="26">
        <v>215326</v>
      </c>
      <c r="E46" s="48"/>
      <c r="F46" s="63">
        <v>1</v>
      </c>
      <c r="G46" s="44"/>
    </row>
    <row r="47" spans="1:7" ht="12" customHeight="1" x14ac:dyDescent="0.2">
      <c r="A47" s="50" t="s">
        <v>68</v>
      </c>
      <c r="B47" s="46">
        <f t="shared" si="0"/>
        <v>0.5986231470136687</v>
      </c>
      <c r="C47" s="26">
        <v>470929</v>
      </c>
      <c r="D47" s="26">
        <v>281909</v>
      </c>
      <c r="E47" s="48"/>
      <c r="F47" s="63">
        <v>1</v>
      </c>
      <c r="G47" s="44"/>
    </row>
    <row r="48" spans="1:7" ht="12" customHeight="1" x14ac:dyDescent="0.2">
      <c r="A48" s="50" t="s">
        <v>69</v>
      </c>
      <c r="B48" s="46">
        <f t="shared" si="0"/>
        <v>0.55705580944467525</v>
      </c>
      <c r="C48" s="26">
        <v>491028</v>
      </c>
      <c r="D48" s="26">
        <v>273530</v>
      </c>
      <c r="E48" s="48"/>
      <c r="F48" s="63">
        <v>1</v>
      </c>
      <c r="G48" s="44"/>
    </row>
    <row r="49" spans="1:7" ht="12" customHeight="1" x14ac:dyDescent="0.2">
      <c r="A49" s="50" t="s">
        <v>70</v>
      </c>
      <c r="B49" s="46">
        <f t="shared" si="0"/>
        <v>0.51069548776125506</v>
      </c>
      <c r="C49" s="26">
        <v>489225</v>
      </c>
      <c r="D49" s="26">
        <v>249845</v>
      </c>
      <c r="E49" s="48"/>
      <c r="F49" s="63">
        <v>1</v>
      </c>
      <c r="G49" s="44"/>
    </row>
    <row r="50" spans="1:7" ht="12" customHeight="1" x14ac:dyDescent="0.2">
      <c r="A50" s="50" t="s">
        <v>71</v>
      </c>
      <c r="B50" s="46">
        <f t="shared" si="0"/>
        <v>0.49856084436120368</v>
      </c>
      <c r="C50" s="26">
        <v>471457</v>
      </c>
      <c r="D50" s="26">
        <v>235050</v>
      </c>
      <c r="E50" s="48"/>
      <c r="F50" s="63">
        <v>1</v>
      </c>
      <c r="G50" s="44"/>
    </row>
    <row r="51" spans="1:7" ht="12" customHeight="1" x14ac:dyDescent="0.2">
      <c r="A51" s="50" t="s">
        <v>72</v>
      </c>
      <c r="B51" s="46">
        <f t="shared" si="0"/>
        <v>0.75635642538090242</v>
      </c>
      <c r="C51" s="26">
        <v>455366</v>
      </c>
      <c r="D51" s="26">
        <v>344419</v>
      </c>
      <c r="E51" s="48"/>
      <c r="F51" s="63">
        <v>1</v>
      </c>
      <c r="G51" s="44"/>
    </row>
    <row r="52" spans="1:7" ht="12" customHeight="1" x14ac:dyDescent="0.2">
      <c r="A52" s="50" t="s">
        <v>73</v>
      </c>
      <c r="B52" s="46">
        <f t="shared" si="0"/>
        <v>0.5125664824277818</v>
      </c>
      <c r="C52" s="26">
        <v>364382</v>
      </c>
      <c r="D52" s="26">
        <v>186770</v>
      </c>
      <c r="E52" s="48"/>
      <c r="F52" s="63">
        <v>1</v>
      </c>
      <c r="G52" s="44"/>
    </row>
    <row r="53" spans="1:7" ht="12" customHeight="1" x14ac:dyDescent="0.2">
      <c r="A53" s="50" t="s">
        <v>74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75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76</v>
      </c>
      <c r="B55" s="46">
        <f t="shared" si="0"/>
        <v>0.4162402095045889</v>
      </c>
      <c r="C55" s="26">
        <v>332976</v>
      </c>
      <c r="D55" s="26">
        <v>138598</v>
      </c>
      <c r="E55" s="48"/>
      <c r="F55" s="63">
        <v>1</v>
      </c>
      <c r="G55" s="44"/>
    </row>
    <row r="56" spans="1:7" ht="12" customHeight="1" x14ac:dyDescent="0.2">
      <c r="A56" s="50" t="s">
        <v>77</v>
      </c>
      <c r="B56" s="46">
        <f t="shared" si="0"/>
        <v>0.57104482378514254</v>
      </c>
      <c r="C56" s="26">
        <v>388276</v>
      </c>
      <c r="D56" s="26">
        <v>221723</v>
      </c>
      <c r="E56" s="48"/>
      <c r="F56" s="63">
        <v>1</v>
      </c>
      <c r="G56" s="44"/>
    </row>
    <row r="57" spans="1:7" ht="12" customHeight="1" x14ac:dyDescent="0.2">
      <c r="A57" s="50" t="s">
        <v>78</v>
      </c>
      <c r="B57" s="46">
        <f t="shared" si="0"/>
        <v>0.9210266284932479</v>
      </c>
      <c r="C57" s="26">
        <v>434159</v>
      </c>
      <c r="D57" s="26">
        <v>399872</v>
      </c>
      <c r="E57" s="48"/>
      <c r="F57" s="63">
        <v>1</v>
      </c>
      <c r="G57" s="44"/>
    </row>
    <row r="58" spans="1:7" ht="12" customHeight="1" x14ac:dyDescent="0.2">
      <c r="A58" s="50" t="s">
        <v>79</v>
      </c>
      <c r="B58" s="46">
        <f t="shared" si="0"/>
        <v>1.4662825026972326</v>
      </c>
      <c r="C58" s="26">
        <v>478268</v>
      </c>
      <c r="D58" s="26">
        <v>701276</v>
      </c>
      <c r="E58" s="48"/>
      <c r="F58" s="63">
        <v>1</v>
      </c>
      <c r="G58" s="44"/>
    </row>
    <row r="59" spans="1:7" ht="12" customHeight="1" x14ac:dyDescent="0.2">
      <c r="A59" s="50" t="s">
        <v>80</v>
      </c>
      <c r="B59" s="46">
        <f t="shared" si="0"/>
        <v>0.99117054346444722</v>
      </c>
      <c r="C59" s="26">
        <v>495727</v>
      </c>
      <c r="D59" s="26">
        <v>491350</v>
      </c>
      <c r="E59" s="48"/>
      <c r="F59" s="63">
        <v>1</v>
      </c>
      <c r="G59" s="44"/>
    </row>
    <row r="60" spans="1:7" ht="12" customHeight="1" x14ac:dyDescent="0.2">
      <c r="A60" s="50" t="s">
        <v>81</v>
      </c>
      <c r="B60" s="46">
        <f t="shared" si="0"/>
        <v>0.82243780531977484</v>
      </c>
      <c r="C60" s="26">
        <v>521789</v>
      </c>
      <c r="D60" s="26">
        <v>429139</v>
      </c>
      <c r="E60" s="48"/>
      <c r="F60" s="63">
        <v>1</v>
      </c>
      <c r="G60" s="44"/>
    </row>
    <row r="61" spans="1:7" ht="12" customHeight="1" x14ac:dyDescent="0.2">
      <c r="A61" s="50" t="s">
        <v>82</v>
      </c>
      <c r="B61" s="46">
        <f t="shared" si="0"/>
        <v>0.6666880419110246</v>
      </c>
      <c r="C61" s="26">
        <v>514614</v>
      </c>
      <c r="D61" s="26">
        <v>343087</v>
      </c>
      <c r="E61" s="48"/>
      <c r="F61" s="63">
        <v>1</v>
      </c>
      <c r="G61" s="44"/>
    </row>
    <row r="62" spans="1:7" ht="12" customHeight="1" x14ac:dyDescent="0.2">
      <c r="A62" s="50" t="s">
        <v>83</v>
      </c>
      <c r="B62" s="46">
        <f t="shared" si="0"/>
        <v>0.81858148590477975</v>
      </c>
      <c r="C62" s="26">
        <v>501553</v>
      </c>
      <c r="D62" s="26">
        <v>410562</v>
      </c>
      <c r="E62" s="48"/>
      <c r="F62" s="63">
        <v>1</v>
      </c>
      <c r="G62" s="44"/>
    </row>
    <row r="63" spans="1:7" ht="12" customHeight="1" x14ac:dyDescent="0.2">
      <c r="A63" s="50" t="s">
        <v>84</v>
      </c>
      <c r="B63" s="46">
        <f t="shared" si="0"/>
        <v>0.70481259025261567</v>
      </c>
      <c r="C63" s="26">
        <v>490983</v>
      </c>
      <c r="D63" s="26">
        <v>346051</v>
      </c>
      <c r="E63" s="48"/>
      <c r="F63" s="63">
        <v>1</v>
      </c>
      <c r="G63" s="44"/>
    </row>
    <row r="64" spans="1:7" ht="12" customHeight="1" x14ac:dyDescent="0.2">
      <c r="A64" s="50" t="s">
        <v>85</v>
      </c>
      <c r="B64" s="46">
        <f t="shared" si="0"/>
        <v>0.65676463087611381</v>
      </c>
      <c r="C64" s="26">
        <v>388203</v>
      </c>
      <c r="D64" s="26">
        <v>254958</v>
      </c>
      <c r="E64" s="48"/>
      <c r="F64" s="63">
        <v>1</v>
      </c>
      <c r="G64" s="44"/>
    </row>
    <row r="65" spans="1:7" ht="13.5" customHeight="1" x14ac:dyDescent="0.2">
      <c r="A65" s="50" t="s">
        <v>86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87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88</v>
      </c>
      <c r="B67" s="46">
        <f t="shared" si="0"/>
        <v>0.40147961174722052</v>
      </c>
      <c r="C67" s="26">
        <v>361311</v>
      </c>
      <c r="D67" s="26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89</v>
      </c>
      <c r="B68" s="46">
        <f t="shared" si="0"/>
        <v>0.59250612055686203</v>
      </c>
      <c r="C68" s="26">
        <v>414178</v>
      </c>
      <c r="D68" s="26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90</v>
      </c>
      <c r="B69" s="46">
        <f t="shared" si="0"/>
        <v>0.80021587569696395</v>
      </c>
      <c r="C69" s="26">
        <v>464156</v>
      </c>
      <c r="D69" s="26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91</v>
      </c>
      <c r="B70" s="46">
        <f t="shared" si="0"/>
        <v>1.0201341361922944</v>
      </c>
      <c r="C70" s="26">
        <v>510675</v>
      </c>
      <c r="D70" s="26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92</v>
      </c>
      <c r="B71" s="46">
        <f t="shared" si="0"/>
        <v>0.97370728606656554</v>
      </c>
      <c r="C71" s="26">
        <v>522312</v>
      </c>
      <c r="D71" s="26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93</v>
      </c>
      <c r="B72" s="46">
        <f t="shared" si="0"/>
        <v>0.99141905503577521</v>
      </c>
      <c r="C72" s="26">
        <v>547026</v>
      </c>
      <c r="D72" s="26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94</v>
      </c>
      <c r="B73" s="46">
        <f t="shared" si="0"/>
        <v>0.90357273295253349</v>
      </c>
      <c r="C73" s="26">
        <v>539391</v>
      </c>
      <c r="D73" s="26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95</v>
      </c>
      <c r="B74" s="46">
        <f t="shared" si="0"/>
        <v>1.1565054001619284</v>
      </c>
      <c r="C74" s="26">
        <v>523688</v>
      </c>
      <c r="D74" s="26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96</v>
      </c>
      <c r="B75" s="46">
        <f t="shared" si="0"/>
        <v>1.0094268990598783</v>
      </c>
      <c r="C75" s="26">
        <v>506211</v>
      </c>
      <c r="D75" s="26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97</v>
      </c>
      <c r="B76" s="46">
        <f t="shared" si="0"/>
        <v>1.1174650775790449</v>
      </c>
      <c r="C76" s="26">
        <v>400817</v>
      </c>
      <c r="D76" s="26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98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99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100</v>
      </c>
      <c r="B79" s="46">
        <f t="shared" si="0"/>
        <v>0.47414014807996857</v>
      </c>
      <c r="C79" s="26">
        <v>369395</v>
      </c>
      <c r="D79" s="26">
        <v>175145</v>
      </c>
      <c r="E79" s="48">
        <f t="shared" ref="E79:E84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101</v>
      </c>
      <c r="B80" s="46">
        <f t="shared" si="0"/>
        <v>0.66669823698994679</v>
      </c>
      <c r="C80" s="26">
        <v>432896</v>
      </c>
      <c r="D80" s="26">
        <v>288611</v>
      </c>
      <c r="E80" s="48">
        <f t="shared" si="2"/>
        <v>0.66131755329396769</v>
      </c>
      <c r="F80" s="63">
        <v>1</v>
      </c>
      <c r="G80" s="44"/>
    </row>
    <row r="81" spans="1:7" ht="13.5" customHeight="1" x14ac:dyDescent="0.2">
      <c r="A81" s="50" t="s">
        <v>102</v>
      </c>
      <c r="B81" s="46">
        <f t="shared" si="0"/>
        <v>0.77000713252058328</v>
      </c>
      <c r="C81" s="26">
        <v>485102</v>
      </c>
      <c r="D81" s="26">
        <v>373532</v>
      </c>
      <c r="E81" s="48">
        <f t="shared" si="2"/>
        <v>0.69291739235186733</v>
      </c>
      <c r="F81" s="63">
        <v>1</v>
      </c>
      <c r="G81" s="44"/>
    </row>
    <row r="82" spans="1:7" ht="13.5" customHeight="1" x14ac:dyDescent="0.2">
      <c r="A82" s="50" t="s">
        <v>103</v>
      </c>
      <c r="B82" s="46">
        <f t="shared" si="0"/>
        <v>1.1091420807823276</v>
      </c>
      <c r="C82" s="26">
        <v>524793</v>
      </c>
      <c r="D82" s="26">
        <v>582070</v>
      </c>
      <c r="E82" s="48">
        <f t="shared" si="2"/>
        <v>0.79250646619228926</v>
      </c>
      <c r="F82" s="63">
        <v>1</v>
      </c>
      <c r="G82" s="44"/>
    </row>
    <row r="83" spans="1:7" ht="13.5" customHeight="1" x14ac:dyDescent="0.2">
      <c r="A83" s="50" t="s">
        <v>104</v>
      </c>
      <c r="B83" s="46">
        <f t="shared" si="0"/>
        <v>1.0005581260360215</v>
      </c>
      <c r="C83" s="26">
        <v>537513</v>
      </c>
      <c r="D83" s="26">
        <v>537813</v>
      </c>
      <c r="E83" s="48">
        <f t="shared" si="2"/>
        <v>0.83345734871709987</v>
      </c>
      <c r="F83" s="63">
        <v>1</v>
      </c>
      <c r="G83" s="44"/>
    </row>
    <row r="84" spans="1:7" ht="13.5" customHeight="1" x14ac:dyDescent="0.2">
      <c r="A84" s="50" t="s">
        <v>105</v>
      </c>
      <c r="B84" s="46">
        <f t="shared" si="0"/>
        <v>1.2860537865180175</v>
      </c>
      <c r="C84" s="26">
        <v>560066</v>
      </c>
      <c r="D84" s="26">
        <v>720275</v>
      </c>
      <c r="E84" s="48">
        <f t="shared" si="2"/>
        <v>0.91048281478375281</v>
      </c>
      <c r="F84" s="63">
        <v>1</v>
      </c>
      <c r="G84" s="44"/>
    </row>
    <row r="85" spans="1:7" ht="13.5" customHeight="1" x14ac:dyDescent="0.2">
      <c r="A85" s="50" t="s">
        <v>106</v>
      </c>
      <c r="B85" s="46"/>
      <c r="C85" s="26"/>
      <c r="D85" s="26"/>
      <c r="E85" s="48"/>
      <c r="F85" s="63"/>
      <c r="G85" s="44"/>
    </row>
    <row r="86" spans="1:7" ht="13.5" customHeight="1" x14ac:dyDescent="0.2">
      <c r="A86" s="50" t="s">
        <v>107</v>
      </c>
      <c r="B86" s="46"/>
      <c r="C86" s="26"/>
      <c r="D86" s="26"/>
      <c r="E86" s="48"/>
      <c r="F86" s="63"/>
      <c r="G86" s="44"/>
    </row>
    <row r="87" spans="1:7" ht="13.5" customHeight="1" x14ac:dyDescent="0.2">
      <c r="A87" s="50" t="s">
        <v>108</v>
      </c>
      <c r="B87" s="46"/>
      <c r="C87" s="26"/>
      <c r="D87" s="26"/>
      <c r="E87" s="48"/>
      <c r="F87" s="63"/>
      <c r="G87" s="44"/>
    </row>
    <row r="88" spans="1:7" ht="13.5" customHeight="1" x14ac:dyDescent="0.2">
      <c r="A88" s="50" t="s">
        <v>109</v>
      </c>
      <c r="B88" s="46"/>
      <c r="C88" s="26"/>
      <c r="D88" s="26"/>
      <c r="E88" s="48"/>
      <c r="F88" s="63"/>
      <c r="G88" s="44"/>
    </row>
    <row r="89" spans="1:7" ht="13.5" customHeight="1" x14ac:dyDescent="0.2">
      <c r="A89" s="50" t="s">
        <v>110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J14" sqref="J14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45887</v>
      </c>
      <c r="C2" s="9" t="s">
        <v>5</v>
      </c>
      <c r="D2" s="10">
        <f>APT_ATFM_SES_YY!D2</f>
        <v>45869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JAN-JUL</v>
      </c>
      <c r="B4" s="66"/>
      <c r="C4" s="66"/>
      <c r="D4" s="67"/>
      <c r="E4" s="67"/>
      <c r="F4" s="21"/>
    </row>
    <row r="5" spans="1:6" ht="12.75" customHeight="1" x14ac:dyDescent="0.2">
      <c r="A5" s="91"/>
      <c r="B5" s="92" t="s">
        <v>530</v>
      </c>
      <c r="C5" s="93"/>
      <c r="D5" s="94"/>
      <c r="E5" s="68" t="s">
        <v>114</v>
      </c>
      <c r="F5" s="21"/>
    </row>
    <row r="6" spans="1:6" ht="12.75" customHeight="1" x14ac:dyDescent="0.2">
      <c r="A6" s="92" t="s">
        <v>111</v>
      </c>
      <c r="B6" s="91" t="s">
        <v>112</v>
      </c>
      <c r="C6" s="95" t="s">
        <v>15</v>
      </c>
      <c r="D6" s="96" t="s">
        <v>113</v>
      </c>
      <c r="E6" s="69" t="s">
        <v>8</v>
      </c>
      <c r="F6" s="21"/>
    </row>
    <row r="7" spans="1:6" ht="12.75" customHeight="1" x14ac:dyDescent="0.2">
      <c r="A7" s="91" t="s">
        <v>115</v>
      </c>
      <c r="B7" s="97">
        <v>6</v>
      </c>
      <c r="C7" s="98">
        <v>93481</v>
      </c>
      <c r="D7" s="99">
        <v>65433</v>
      </c>
      <c r="E7" s="69">
        <f t="shared" ref="E6:E27" si="0">D7/C7</f>
        <v>0.69996041976444412</v>
      </c>
      <c r="F7" s="21"/>
    </row>
    <row r="8" spans="1:6" ht="12.75" customHeight="1" x14ac:dyDescent="0.2">
      <c r="A8" s="100" t="s">
        <v>116</v>
      </c>
      <c r="B8" s="101">
        <v>1</v>
      </c>
      <c r="C8" s="102">
        <v>57396</v>
      </c>
      <c r="D8" s="103">
        <v>42951</v>
      </c>
      <c r="E8" s="69">
        <f t="shared" si="0"/>
        <v>0.74832740957558019</v>
      </c>
      <c r="F8" s="21"/>
    </row>
    <row r="9" spans="1:6" ht="12.75" customHeight="1" x14ac:dyDescent="0.2">
      <c r="A9" s="100" t="s">
        <v>117</v>
      </c>
      <c r="B9" s="101">
        <v>1</v>
      </c>
      <c r="C9" s="102">
        <v>38762</v>
      </c>
      <c r="D9" s="103">
        <v>14361</v>
      </c>
      <c r="E9" s="69">
        <f t="shared" si="0"/>
        <v>0.37049171869356584</v>
      </c>
      <c r="F9" s="21"/>
    </row>
    <row r="10" spans="1:6" ht="12.75" customHeight="1" x14ac:dyDescent="0.2">
      <c r="A10" s="100" t="s">
        <v>118</v>
      </c>
      <c r="B10" s="101">
        <v>1</v>
      </c>
      <c r="C10" s="102">
        <v>72513</v>
      </c>
      <c r="D10" s="103">
        <v>29907</v>
      </c>
      <c r="E10" s="69">
        <f t="shared" si="0"/>
        <v>0.41243639071614746</v>
      </c>
      <c r="F10" s="21"/>
    </row>
    <row r="11" spans="1:6" ht="12.75" customHeight="1" x14ac:dyDescent="0.2">
      <c r="A11" s="100" t="s">
        <v>119</v>
      </c>
      <c r="B11" s="101">
        <v>1</v>
      </c>
      <c r="C11" s="102">
        <v>44817</v>
      </c>
      <c r="D11" s="103">
        <v>6890</v>
      </c>
      <c r="E11" s="69">
        <f t="shared" si="0"/>
        <v>0.15373630541981836</v>
      </c>
      <c r="F11" s="21"/>
    </row>
    <row r="12" spans="1:6" ht="12.75" customHeight="1" x14ac:dyDescent="0.2">
      <c r="A12" s="100" t="s">
        <v>120</v>
      </c>
      <c r="B12" s="101">
        <v>54</v>
      </c>
      <c r="C12" s="102">
        <v>500544</v>
      </c>
      <c r="D12" s="103">
        <v>426160</v>
      </c>
      <c r="E12" s="69">
        <f t="shared" si="0"/>
        <v>0.85139368367216472</v>
      </c>
      <c r="F12" s="21"/>
    </row>
    <row r="13" spans="1:6" ht="12.75" customHeight="1" x14ac:dyDescent="0.2">
      <c r="A13" s="100" t="s">
        <v>121</v>
      </c>
      <c r="B13" s="101">
        <v>15</v>
      </c>
      <c r="C13" s="102">
        <v>484864</v>
      </c>
      <c r="D13" s="103">
        <v>203107</v>
      </c>
      <c r="E13" s="69">
        <f t="shared" si="0"/>
        <v>0.41889478286694826</v>
      </c>
      <c r="F13" s="21"/>
    </row>
    <row r="14" spans="1:6" ht="12.75" customHeight="1" x14ac:dyDescent="0.2">
      <c r="A14" s="100" t="s">
        <v>122</v>
      </c>
      <c r="B14" s="101">
        <v>1</v>
      </c>
      <c r="C14" s="102">
        <v>78329</v>
      </c>
      <c r="D14" s="103">
        <v>485418</v>
      </c>
      <c r="E14" s="69">
        <f t="shared" si="0"/>
        <v>6.1971683539940505</v>
      </c>
      <c r="F14" s="21"/>
    </row>
    <row r="15" spans="1:6" ht="12.75" customHeight="1" x14ac:dyDescent="0.2">
      <c r="A15" s="100" t="s">
        <v>123</v>
      </c>
      <c r="B15" s="101">
        <v>1</v>
      </c>
      <c r="C15" s="102">
        <v>38967</v>
      </c>
      <c r="D15" s="103">
        <v>216</v>
      </c>
      <c r="E15" s="69">
        <f t="shared" si="0"/>
        <v>5.5431518977596432E-3</v>
      </c>
      <c r="F15" s="21" t="s">
        <v>8</v>
      </c>
    </row>
    <row r="16" spans="1:6" ht="12.75" customHeight="1" x14ac:dyDescent="0.2">
      <c r="A16" s="100" t="s">
        <v>124</v>
      </c>
      <c r="B16" s="101">
        <v>3</v>
      </c>
      <c r="C16" s="102">
        <v>87103</v>
      </c>
      <c r="D16" s="103">
        <v>7443</v>
      </c>
      <c r="E16" s="69">
        <f t="shared" si="0"/>
        <v>8.5450558534149221E-2</v>
      </c>
      <c r="F16" s="21"/>
    </row>
    <row r="17" spans="1:6" ht="12.75" customHeight="1" x14ac:dyDescent="0.2">
      <c r="A17" s="100" t="s">
        <v>125</v>
      </c>
      <c r="B17" s="101">
        <v>49</v>
      </c>
      <c r="C17" s="102">
        <v>496013</v>
      </c>
      <c r="D17" s="103">
        <v>132314</v>
      </c>
      <c r="E17" s="69">
        <f t="shared" si="0"/>
        <v>0.26675510520893608</v>
      </c>
      <c r="F17" s="21"/>
    </row>
    <row r="18" spans="1:6" ht="12.75" customHeight="1" x14ac:dyDescent="0.2">
      <c r="A18" s="100" t="s">
        <v>126</v>
      </c>
      <c r="B18" s="101">
        <v>1</v>
      </c>
      <c r="C18" s="102">
        <v>20437</v>
      </c>
      <c r="D18" s="103">
        <v>2197</v>
      </c>
      <c r="E18" s="69">
        <f t="shared" si="0"/>
        <v>0.10750110094436562</v>
      </c>
      <c r="F18" s="21"/>
    </row>
    <row r="19" spans="1:6" ht="12.75" customHeight="1" x14ac:dyDescent="0.2">
      <c r="A19" s="100" t="s">
        <v>127</v>
      </c>
      <c r="B19" s="101">
        <v>1</v>
      </c>
      <c r="C19" s="102">
        <v>20888</v>
      </c>
      <c r="D19" s="103">
        <v>1508</v>
      </c>
      <c r="E19" s="69">
        <f t="shared" si="0"/>
        <v>7.2194561470700885E-2</v>
      </c>
      <c r="F19" s="21"/>
    </row>
    <row r="20" spans="1:6" ht="12.75" customHeight="1" x14ac:dyDescent="0.2">
      <c r="A20" s="100" t="s">
        <v>128</v>
      </c>
      <c r="B20" s="101">
        <v>4</v>
      </c>
      <c r="C20" s="102">
        <v>155291</v>
      </c>
      <c r="D20" s="103">
        <v>635252</v>
      </c>
      <c r="E20" s="69">
        <f t="shared" si="0"/>
        <v>4.0907200030909712</v>
      </c>
      <c r="F20" s="21"/>
    </row>
    <row r="21" spans="1:6" ht="12.75" customHeight="1" x14ac:dyDescent="0.2">
      <c r="A21" s="100" t="s">
        <v>129</v>
      </c>
      <c r="B21" s="101">
        <v>4</v>
      </c>
      <c r="C21" s="102">
        <v>120431</v>
      </c>
      <c r="D21" s="103">
        <v>20944</v>
      </c>
      <c r="E21" s="69">
        <f t="shared" si="0"/>
        <v>0.17390871121222942</v>
      </c>
      <c r="F21" s="21"/>
    </row>
    <row r="22" spans="1:6" ht="12.75" customHeight="1" x14ac:dyDescent="0.2">
      <c r="A22" s="100" t="s">
        <v>130</v>
      </c>
      <c r="B22" s="101">
        <v>15</v>
      </c>
      <c r="C22" s="102">
        <v>145968</v>
      </c>
      <c r="D22" s="103">
        <v>26891</v>
      </c>
      <c r="E22" s="69">
        <f t="shared" si="0"/>
        <v>0.18422530965691111</v>
      </c>
      <c r="F22" s="21"/>
    </row>
    <row r="23" spans="1:6" ht="12.75" customHeight="1" x14ac:dyDescent="0.2">
      <c r="A23" s="100" t="s">
        <v>131</v>
      </c>
      <c r="B23" s="101">
        <v>10</v>
      </c>
      <c r="C23" s="102">
        <v>143077</v>
      </c>
      <c r="D23" s="103">
        <v>278502</v>
      </c>
      <c r="E23" s="69">
        <f t="shared" si="0"/>
        <v>1.94651830832349</v>
      </c>
      <c r="F23" s="21"/>
    </row>
    <row r="24" spans="1:6" ht="12.75" customHeight="1" x14ac:dyDescent="0.2">
      <c r="A24" s="100" t="s">
        <v>132</v>
      </c>
      <c r="B24" s="101">
        <v>11</v>
      </c>
      <c r="C24" s="102">
        <v>57982</v>
      </c>
      <c r="D24" s="103">
        <v>11953</v>
      </c>
      <c r="E24" s="69">
        <f t="shared" si="0"/>
        <v>0.20615018454002967</v>
      </c>
      <c r="F24" s="21" t="s">
        <v>8</v>
      </c>
    </row>
    <row r="25" spans="1:6" ht="12.75" customHeight="1" x14ac:dyDescent="0.2">
      <c r="A25" s="100" t="s">
        <v>133</v>
      </c>
      <c r="B25" s="101">
        <v>7</v>
      </c>
      <c r="C25" s="102">
        <v>449424</v>
      </c>
      <c r="D25" s="103">
        <v>341743</v>
      </c>
      <c r="E25" s="69">
        <f t="shared" si="0"/>
        <v>0.76040220370963718</v>
      </c>
      <c r="F25" s="21"/>
    </row>
    <row r="26" spans="1:6" ht="12.75" customHeight="1" x14ac:dyDescent="0.2">
      <c r="A26" s="100" t="s">
        <v>134</v>
      </c>
      <c r="B26" s="101">
        <v>1</v>
      </c>
      <c r="C26" s="102">
        <v>57462</v>
      </c>
      <c r="D26" s="103">
        <v>164</v>
      </c>
      <c r="E26" s="69">
        <f t="shared" si="0"/>
        <v>2.8540600744840069E-3</v>
      </c>
      <c r="F26" s="21"/>
    </row>
    <row r="27" spans="1:6" ht="12.75" customHeight="1" x14ac:dyDescent="0.2">
      <c r="A27" s="104" t="s">
        <v>135</v>
      </c>
      <c r="B27" s="105">
        <v>2</v>
      </c>
      <c r="C27" s="106">
        <v>127161</v>
      </c>
      <c r="D27" s="107">
        <v>262963</v>
      </c>
      <c r="E27" s="69">
        <f t="shared" si="0"/>
        <v>2.0679532246522125</v>
      </c>
      <c r="F27" s="21"/>
    </row>
    <row r="28" spans="1:6" ht="12.75" customHeight="1" x14ac:dyDescent="0.2">
      <c r="A28" s="44"/>
      <c r="B28" s="44"/>
      <c r="C28" s="44"/>
      <c r="D28" s="44"/>
      <c r="E28" s="70"/>
      <c r="F28" s="21"/>
    </row>
    <row r="29" spans="1:6" ht="12.75" customHeight="1" x14ac:dyDescent="0.2">
      <c r="A29" s="44"/>
      <c r="B29" s="44"/>
      <c r="C29" s="44"/>
      <c r="D29" s="44"/>
      <c r="E29" s="70"/>
      <c r="F29" s="21"/>
    </row>
    <row r="30" spans="1:6" ht="12.75" customHeight="1" x14ac:dyDescent="0.2">
      <c r="A30" s="44"/>
      <c r="B30" s="44"/>
      <c r="C30" s="44"/>
      <c r="D30" s="44"/>
      <c r="E30" s="70"/>
      <c r="F30" s="21"/>
    </row>
    <row r="31" spans="1:6" ht="12.75" customHeight="1" x14ac:dyDescent="0.2">
      <c r="A31" s="44"/>
      <c r="B31" s="44"/>
      <c r="C31" s="44"/>
      <c r="D31" s="44"/>
      <c r="E31" s="70"/>
      <c r="F31" s="21"/>
    </row>
    <row r="32" spans="1:6" ht="12.75" customHeight="1" x14ac:dyDescent="0.2">
      <c r="A32" s="44"/>
      <c r="B32" s="44"/>
      <c r="C32" s="44"/>
      <c r="D32" s="44"/>
      <c r="E32" s="70"/>
      <c r="F32" s="21"/>
    </row>
    <row r="33" spans="1:6" ht="12.75" customHeight="1" x14ac:dyDescent="0.2">
      <c r="A33" s="44"/>
      <c r="B33" s="44"/>
      <c r="C33" s="44"/>
      <c r="D33" s="44"/>
      <c r="E33" s="70"/>
      <c r="F33" s="21"/>
    </row>
    <row r="34" spans="1:6" ht="12.75" customHeight="1" x14ac:dyDescent="0.2">
      <c r="A34" s="44"/>
      <c r="B34" s="44"/>
      <c r="C34" s="44"/>
      <c r="D34" s="44"/>
      <c r="E34" s="70"/>
      <c r="F34" s="21"/>
    </row>
    <row r="35" spans="1:6" ht="12.75" customHeight="1" x14ac:dyDescent="0.2">
      <c r="A35" s="44"/>
      <c r="B35" s="44"/>
      <c r="C35" s="44"/>
      <c r="D35" s="44"/>
      <c r="E35" s="70"/>
      <c r="F35" s="21"/>
    </row>
    <row r="36" spans="1:6" ht="12.75" customHeight="1" x14ac:dyDescent="0.2">
      <c r="A36" s="44"/>
      <c r="B36" s="44"/>
      <c r="C36" s="44"/>
      <c r="D36" s="44"/>
      <c r="E36" s="70"/>
      <c r="F36" s="21"/>
    </row>
    <row r="37" spans="1:6" ht="12.75" customHeight="1" x14ac:dyDescent="0.2">
      <c r="A37" s="44"/>
      <c r="B37" s="44"/>
      <c r="C37" s="44"/>
      <c r="D37" s="44"/>
      <c r="E37" s="70"/>
      <c r="F37" s="21"/>
    </row>
    <row r="38" spans="1:6" ht="12.75" customHeight="1" x14ac:dyDescent="0.2">
      <c r="A38" s="44"/>
      <c r="B38" s="44"/>
      <c r="C38" s="44"/>
      <c r="D38" s="44"/>
      <c r="E38" s="70"/>
      <c r="F38" s="21"/>
    </row>
    <row r="39" spans="1:6" ht="12.75" customHeight="1" x14ac:dyDescent="0.2">
      <c r="A39" s="44"/>
      <c r="B39" s="44"/>
      <c r="C39" s="44"/>
      <c r="D39" s="44"/>
      <c r="E39" s="70"/>
      <c r="F39" s="21"/>
    </row>
    <row r="40" spans="1:6" ht="12.75" customHeight="1" x14ac:dyDescent="0.2">
      <c r="A40" s="44"/>
      <c r="B40" s="44"/>
      <c r="C40" s="44"/>
      <c r="D40" s="44"/>
      <c r="E40" s="70"/>
      <c r="F40" s="21"/>
    </row>
    <row r="41" spans="1:6" ht="12.75" customHeight="1" x14ac:dyDescent="0.2">
      <c r="A41" s="44"/>
      <c r="B41" s="44"/>
      <c r="C41" s="44"/>
      <c r="D41" s="44"/>
      <c r="E41" s="70"/>
      <c r="F41" s="21"/>
    </row>
    <row r="42" spans="1:6" ht="12.75" customHeight="1" x14ac:dyDescent="0.2">
      <c r="A42" s="44"/>
      <c r="B42" s="44"/>
      <c r="C42" s="44"/>
      <c r="D42" s="44"/>
      <c r="E42" s="70"/>
      <c r="F42" s="21"/>
    </row>
    <row r="43" spans="1:6" ht="12.75" customHeight="1" x14ac:dyDescent="0.2">
      <c r="A43" s="44"/>
      <c r="B43" s="44"/>
      <c r="C43" s="44"/>
      <c r="D43" s="44"/>
      <c r="E43" s="70"/>
      <c r="F43" s="21"/>
    </row>
    <row r="44" spans="1:6" ht="12.75" customHeight="1" x14ac:dyDescent="0.2">
      <c r="A44" s="44"/>
      <c r="B44" s="44"/>
      <c r="C44" s="44"/>
      <c r="D44" s="44"/>
      <c r="E44" s="70"/>
      <c r="F44" s="21"/>
    </row>
    <row r="45" spans="1:6" ht="12.75" customHeight="1" x14ac:dyDescent="0.2">
      <c r="A45" s="44"/>
      <c r="B45" s="44"/>
      <c r="C45" s="44"/>
      <c r="D45" s="44"/>
      <c r="E45" s="70"/>
      <c r="F45" s="21"/>
    </row>
    <row r="46" spans="1:6" ht="12.75" customHeight="1" x14ac:dyDescent="0.2">
      <c r="A46" s="44"/>
      <c r="B46" s="44"/>
      <c r="C46" s="44"/>
      <c r="D46" s="44"/>
      <c r="E46" s="70"/>
      <c r="F46" s="21"/>
    </row>
    <row r="47" spans="1:6" ht="12.75" customHeight="1" x14ac:dyDescent="0.2">
      <c r="A47" s="44"/>
      <c r="B47" s="44"/>
      <c r="C47" s="44"/>
      <c r="D47" s="44"/>
      <c r="E47" s="70"/>
      <c r="F47" s="21"/>
    </row>
    <row r="48" spans="1:6" ht="12.75" customHeight="1" x14ac:dyDescent="0.2">
      <c r="A48" s="44"/>
      <c r="B48" s="44"/>
      <c r="C48" s="44"/>
      <c r="D48" s="44"/>
      <c r="E48" s="70"/>
      <c r="F48" s="21"/>
    </row>
    <row r="49" spans="1:6" ht="12.75" customHeight="1" x14ac:dyDescent="0.2">
      <c r="A49" s="44"/>
      <c r="B49" s="44"/>
      <c r="C49" s="44"/>
      <c r="D49" s="44"/>
      <c r="E49" s="70"/>
      <c r="F49" s="21"/>
    </row>
    <row r="50" spans="1:6" ht="12.75" customHeight="1" x14ac:dyDescent="0.2">
      <c r="A50" s="44"/>
      <c r="B50" s="44"/>
      <c r="C50" s="44"/>
      <c r="D50" s="44"/>
      <c r="E50" s="70"/>
      <c r="F50" s="21"/>
    </row>
    <row r="51" spans="1:6" ht="12.75" customHeight="1" x14ac:dyDescent="0.2">
      <c r="A51" s="44"/>
      <c r="B51" s="44"/>
      <c r="C51" s="44"/>
      <c r="D51" s="44"/>
      <c r="E51" s="70"/>
      <c r="F51" s="21"/>
    </row>
    <row r="52" spans="1:6" ht="12.75" customHeight="1" x14ac:dyDescent="0.2">
      <c r="A52" s="44"/>
      <c r="B52" s="44"/>
      <c r="C52" s="44"/>
      <c r="D52" s="44"/>
      <c r="E52" s="70"/>
      <c r="F52" s="21"/>
    </row>
    <row r="53" spans="1:6" ht="12.75" customHeight="1" x14ac:dyDescent="0.2">
      <c r="A53" s="44"/>
      <c r="B53" s="44"/>
      <c r="C53" s="44"/>
      <c r="D53" s="44"/>
      <c r="E53" s="70"/>
      <c r="F53" s="21"/>
    </row>
    <row r="54" spans="1:6" ht="12.75" customHeight="1" x14ac:dyDescent="0.2">
      <c r="A54" s="44"/>
      <c r="B54" s="44"/>
      <c r="C54" s="44"/>
      <c r="D54" s="44"/>
      <c r="E54" s="70"/>
      <c r="F54" s="21"/>
    </row>
    <row r="55" spans="1:6" ht="12.75" customHeight="1" x14ac:dyDescent="0.2">
      <c r="A55" s="44"/>
      <c r="B55" s="44"/>
      <c r="C55" s="44"/>
      <c r="D55" s="44"/>
      <c r="E55" s="70"/>
      <c r="F55" s="21"/>
    </row>
    <row r="56" spans="1:6" ht="12.75" customHeight="1" x14ac:dyDescent="0.2">
      <c r="A56" s="44"/>
      <c r="B56" s="44"/>
      <c r="C56" s="44"/>
      <c r="D56" s="44"/>
      <c r="E56" s="70"/>
      <c r="F56" s="21"/>
    </row>
    <row r="57" spans="1:6" ht="12.75" customHeight="1" x14ac:dyDescent="0.2">
      <c r="A57" s="44"/>
      <c r="B57" s="44"/>
      <c r="C57" s="44"/>
      <c r="D57" s="44"/>
      <c r="E57" s="70"/>
      <c r="F57" s="21"/>
    </row>
    <row r="58" spans="1:6" ht="12.75" customHeight="1" x14ac:dyDescent="0.2">
      <c r="A58" s="44"/>
      <c r="B58" s="44"/>
      <c r="C58" s="44"/>
      <c r="D58" s="44"/>
      <c r="E58" s="70"/>
      <c r="F58" s="21"/>
    </row>
    <row r="59" spans="1:6" ht="12.75" customHeight="1" x14ac:dyDescent="0.2">
      <c r="A59" s="44"/>
      <c r="B59" s="44"/>
      <c r="C59" s="44"/>
      <c r="D59" s="44"/>
      <c r="E59" s="70"/>
      <c r="F59" s="21"/>
    </row>
    <row r="60" spans="1:6" ht="12.75" customHeight="1" x14ac:dyDescent="0.2">
      <c r="A60" s="44"/>
      <c r="B60" s="44"/>
      <c r="C60" s="44"/>
      <c r="D60" s="44"/>
      <c r="E60" s="70"/>
      <c r="F60" s="21"/>
    </row>
    <row r="61" spans="1:6" ht="12.75" customHeight="1" x14ac:dyDescent="0.2">
      <c r="A61" s="44"/>
      <c r="B61" s="44"/>
      <c r="C61" s="44"/>
      <c r="D61" s="44"/>
      <c r="E61" s="70"/>
      <c r="F61" s="21"/>
    </row>
    <row r="62" spans="1:6" ht="12.75" customHeight="1" x14ac:dyDescent="0.2">
      <c r="A62" s="44"/>
      <c r="B62" s="44"/>
      <c r="C62" s="44"/>
      <c r="D62" s="44"/>
      <c r="E62" s="70"/>
      <c r="F62" s="21"/>
    </row>
    <row r="63" spans="1:6" ht="12.75" customHeight="1" x14ac:dyDescent="0.2">
      <c r="A63" s="44"/>
      <c r="B63" s="44"/>
      <c r="C63" s="44"/>
      <c r="D63" s="44"/>
      <c r="E63" s="70"/>
      <c r="F63" s="21"/>
    </row>
    <row r="64" spans="1:6" ht="12.75" customHeight="1" x14ac:dyDescent="0.2">
      <c r="A64" s="44"/>
      <c r="B64" s="44"/>
      <c r="C64" s="44"/>
      <c r="D64" s="44"/>
      <c r="E64" s="70"/>
      <c r="F64" s="21"/>
    </row>
    <row r="65" spans="1:6" ht="12.75" customHeight="1" x14ac:dyDescent="0.2">
      <c r="A65" s="44"/>
      <c r="B65" s="44"/>
      <c r="C65" s="44"/>
      <c r="D65" s="44"/>
      <c r="E65" s="70"/>
      <c r="F65" s="21"/>
    </row>
    <row r="66" spans="1:6" ht="12.75" customHeight="1" x14ac:dyDescent="0.2">
      <c r="A66" s="44"/>
      <c r="B66" s="44"/>
      <c r="C66" s="44"/>
      <c r="D66" s="44"/>
      <c r="E66" s="70"/>
      <c r="F66" s="21"/>
    </row>
    <row r="67" spans="1:6" ht="12.75" customHeight="1" x14ac:dyDescent="0.2">
      <c r="A67" s="44"/>
      <c r="B67" s="44"/>
      <c r="C67" s="44"/>
      <c r="D67" s="44"/>
      <c r="E67" s="70"/>
      <c r="F67" s="21"/>
    </row>
    <row r="68" spans="1:6" ht="12.75" customHeight="1" x14ac:dyDescent="0.2">
      <c r="A68" s="44"/>
      <c r="B68" s="44"/>
      <c r="C68" s="44"/>
      <c r="D68" s="44"/>
      <c r="E68" s="70"/>
      <c r="F68" s="21"/>
    </row>
    <row r="69" spans="1:6" ht="12.75" customHeight="1" x14ac:dyDescent="0.2">
      <c r="A69" s="44"/>
      <c r="B69" s="44"/>
      <c r="C69" s="44"/>
      <c r="D69" s="44"/>
      <c r="E69" s="70"/>
      <c r="F69" s="21"/>
    </row>
    <row r="70" spans="1:6" ht="12.75" customHeight="1" x14ac:dyDescent="0.2">
      <c r="A70" s="44"/>
      <c r="B70" s="44"/>
      <c r="C70" s="44"/>
      <c r="D70" s="44"/>
      <c r="E70" s="70"/>
      <c r="F70" s="21"/>
    </row>
    <row r="71" spans="1:6" ht="12.75" customHeight="1" x14ac:dyDescent="0.2">
      <c r="A71" s="44"/>
      <c r="B71" s="44"/>
      <c r="C71" s="44"/>
      <c r="D71" s="44"/>
      <c r="E71" s="70"/>
      <c r="F71" s="21"/>
    </row>
    <row r="72" spans="1:6" ht="12.75" customHeight="1" x14ac:dyDescent="0.2">
      <c r="A72" s="44"/>
      <c r="B72" s="44"/>
      <c r="C72" s="44"/>
      <c r="D72" s="44"/>
      <c r="E72" s="70"/>
      <c r="F72" s="21"/>
    </row>
    <row r="73" spans="1:6" ht="12.75" customHeight="1" x14ac:dyDescent="0.2">
      <c r="A73" s="44"/>
      <c r="B73" s="44"/>
      <c r="C73" s="44"/>
      <c r="D73" s="44"/>
      <c r="E73" s="70"/>
      <c r="F73" s="21"/>
    </row>
    <row r="74" spans="1:6" ht="12.75" customHeight="1" x14ac:dyDescent="0.2">
      <c r="A74" s="44"/>
      <c r="B74" s="44"/>
      <c r="C74" s="44"/>
      <c r="D74" s="44"/>
      <c r="E74" s="70"/>
      <c r="F74" s="21"/>
    </row>
    <row r="75" spans="1:6" ht="12.75" customHeight="1" x14ac:dyDescent="0.2">
      <c r="A75" s="44"/>
      <c r="B75" s="44"/>
      <c r="C75" s="44"/>
      <c r="D75" s="44"/>
      <c r="E75" s="70"/>
      <c r="F75" s="21"/>
    </row>
    <row r="76" spans="1:6" ht="12.75" customHeight="1" x14ac:dyDescent="0.2">
      <c r="A76" s="44"/>
      <c r="B76" s="44"/>
      <c r="C76" s="44"/>
      <c r="D76" s="44"/>
      <c r="E76" s="70"/>
      <c r="F76" s="21"/>
    </row>
    <row r="77" spans="1:6" ht="12.75" customHeight="1" x14ac:dyDescent="0.2">
      <c r="A77" s="44"/>
      <c r="B77" s="44"/>
      <c r="C77" s="44"/>
      <c r="D77" s="44"/>
      <c r="E77" s="70"/>
      <c r="F77" s="21"/>
    </row>
    <row r="78" spans="1:6" ht="12.75" customHeight="1" x14ac:dyDescent="0.2">
      <c r="A78" s="44"/>
      <c r="B78" s="44"/>
      <c r="C78" s="44"/>
      <c r="D78" s="44"/>
      <c r="E78" s="70"/>
      <c r="F78" s="21"/>
    </row>
    <row r="79" spans="1:6" ht="12.75" customHeight="1" x14ac:dyDescent="0.2">
      <c r="A79" s="44"/>
      <c r="B79" s="44"/>
      <c r="C79" s="44"/>
      <c r="D79" s="44"/>
      <c r="E79" s="70"/>
      <c r="F79" s="21"/>
    </row>
    <row r="80" spans="1:6" ht="12.75" customHeight="1" x14ac:dyDescent="0.2">
      <c r="A80" s="44"/>
      <c r="B80" s="44"/>
      <c r="C80" s="44"/>
      <c r="D80" s="44"/>
      <c r="E80" s="70"/>
      <c r="F80" s="21"/>
    </row>
    <row r="81" spans="1:6" ht="12.75" customHeight="1" x14ac:dyDescent="0.2">
      <c r="A81" s="44"/>
      <c r="B81" s="44"/>
      <c r="C81" s="44"/>
      <c r="D81" s="44"/>
      <c r="E81" s="70"/>
      <c r="F81" s="21"/>
    </row>
    <row r="82" spans="1:6" ht="12.75" customHeight="1" x14ac:dyDescent="0.2">
      <c r="A82" s="44"/>
      <c r="B82" s="44"/>
      <c r="C82" s="44"/>
      <c r="D82" s="44"/>
      <c r="E82" s="70"/>
      <c r="F82" s="21"/>
    </row>
    <row r="83" spans="1:6" ht="12.75" customHeight="1" x14ac:dyDescent="0.2">
      <c r="A83" s="44"/>
      <c r="B83" s="44"/>
      <c r="C83" s="44"/>
      <c r="D83" s="44"/>
      <c r="E83" s="70"/>
      <c r="F83" s="21"/>
    </row>
    <row r="84" spans="1:6" ht="12.75" customHeight="1" x14ac:dyDescent="0.2">
      <c r="A84" s="44"/>
      <c r="B84" s="44"/>
      <c r="C84" s="44"/>
      <c r="D84" s="44"/>
      <c r="E84" s="70"/>
      <c r="F84" s="21"/>
    </row>
    <row r="85" spans="1:6" ht="12.75" customHeight="1" x14ac:dyDescent="0.2">
      <c r="A85" s="44"/>
      <c r="B85" s="44"/>
      <c r="C85" s="44"/>
      <c r="D85" s="44"/>
      <c r="E85" s="70"/>
      <c r="F85" s="21"/>
    </row>
    <row r="86" spans="1:6" ht="12.75" customHeight="1" x14ac:dyDescent="0.2">
      <c r="A86" s="44"/>
      <c r="B86" s="44"/>
      <c r="C86" s="44"/>
      <c r="D86" s="44"/>
      <c r="E86" s="70"/>
      <c r="F86" s="21"/>
    </row>
    <row r="87" spans="1:6" ht="12.75" customHeight="1" x14ac:dyDescent="0.2">
      <c r="A87" s="44"/>
      <c r="B87" s="44"/>
      <c r="C87" s="44"/>
      <c r="D87" s="44"/>
      <c r="E87" s="70"/>
      <c r="F87" s="21"/>
    </row>
    <row r="88" spans="1:6" ht="12.75" customHeight="1" x14ac:dyDescent="0.2">
      <c r="A88" s="44"/>
      <c r="B88" s="44"/>
      <c r="C88" s="44"/>
      <c r="D88" s="44"/>
      <c r="E88" s="70"/>
      <c r="F88" s="21"/>
    </row>
    <row r="89" spans="1:6" ht="12.75" customHeight="1" x14ac:dyDescent="0.2">
      <c r="A89" s="44"/>
      <c r="B89" s="44"/>
      <c r="C89" s="44"/>
      <c r="D89" s="44"/>
      <c r="E89" s="70"/>
      <c r="F89" s="21"/>
    </row>
    <row r="90" spans="1:6" ht="12.75" customHeight="1" x14ac:dyDescent="0.2">
      <c r="A90" s="44"/>
      <c r="B90" s="44"/>
      <c r="C90" s="44"/>
      <c r="D90" s="44"/>
      <c r="E90" s="70"/>
      <c r="F90" s="21"/>
    </row>
    <row r="91" spans="1:6" ht="12.75" customHeight="1" x14ac:dyDescent="0.2">
      <c r="A91" s="44"/>
      <c r="B91" s="44"/>
      <c r="C91" s="44"/>
      <c r="D91" s="44"/>
      <c r="E91" s="70"/>
      <c r="F91" s="21"/>
    </row>
    <row r="92" spans="1:6" ht="12.75" customHeight="1" x14ac:dyDescent="0.2">
      <c r="A92" s="44"/>
      <c r="B92" s="44"/>
      <c r="C92" s="44"/>
      <c r="D92" s="44"/>
      <c r="E92" s="70"/>
      <c r="F92" s="21"/>
    </row>
    <row r="93" spans="1:6" ht="12.75" customHeight="1" x14ac:dyDescent="0.2">
      <c r="A93" s="44"/>
      <c r="B93" s="44"/>
      <c r="C93" s="44"/>
      <c r="D93" s="44"/>
      <c r="E93" s="70"/>
      <c r="F93" s="21"/>
    </row>
    <row r="94" spans="1:6" ht="12.75" customHeight="1" x14ac:dyDescent="0.2">
      <c r="A94" s="44"/>
      <c r="B94" s="44"/>
      <c r="C94" s="44"/>
      <c r="D94" s="44"/>
      <c r="E94" s="70"/>
      <c r="F94" s="21"/>
    </row>
    <row r="95" spans="1:6" ht="12.75" customHeight="1" x14ac:dyDescent="0.2">
      <c r="A95" s="44"/>
      <c r="B95" s="44"/>
      <c r="C95" s="44"/>
      <c r="D95" s="44"/>
      <c r="E95" s="70"/>
      <c r="F95" s="21"/>
    </row>
    <row r="96" spans="1:6" ht="12.75" customHeight="1" x14ac:dyDescent="0.2">
      <c r="A96" s="44"/>
      <c r="B96" s="44"/>
      <c r="C96" s="44"/>
      <c r="D96" s="44"/>
      <c r="E96" s="70"/>
      <c r="F96" s="21"/>
    </row>
    <row r="97" spans="1:6" ht="12.75" customHeight="1" x14ac:dyDescent="0.2">
      <c r="A97" s="44"/>
      <c r="B97" s="44"/>
      <c r="C97" s="44"/>
      <c r="D97" s="44"/>
      <c r="E97" s="70"/>
      <c r="F97" s="21"/>
    </row>
    <row r="98" spans="1:6" ht="12.75" customHeight="1" x14ac:dyDescent="0.2">
      <c r="A98" s="44"/>
      <c r="B98" s="44"/>
      <c r="C98" s="44"/>
      <c r="D98" s="44"/>
      <c r="E98" s="70"/>
      <c r="F98" s="21"/>
    </row>
    <row r="99" spans="1:6" ht="12.75" customHeight="1" x14ac:dyDescent="0.2">
      <c r="A99" s="44"/>
      <c r="B99" s="44"/>
      <c r="C99" s="44"/>
      <c r="D99" s="44"/>
      <c r="E99" s="70"/>
      <c r="F99" s="21"/>
    </row>
    <row r="100" spans="1:6" ht="12.75" customHeight="1" x14ac:dyDescent="0.2">
      <c r="A100" s="44"/>
      <c r="B100" s="44"/>
      <c r="C100" s="44"/>
      <c r="D100" s="44"/>
      <c r="E100" s="70"/>
      <c r="F100" s="21"/>
    </row>
    <row r="101" spans="1:6" ht="12.75" customHeight="1" x14ac:dyDescent="0.2">
      <c r="A101" s="44"/>
      <c r="B101" s="44"/>
      <c r="C101" s="44"/>
      <c r="D101" s="44"/>
      <c r="E101" s="70"/>
      <c r="F101" s="21"/>
    </row>
    <row r="102" spans="1:6" ht="12.75" customHeight="1" x14ac:dyDescent="0.2">
      <c r="A102" s="44"/>
      <c r="B102" s="44"/>
      <c r="C102" s="44"/>
      <c r="D102" s="44"/>
      <c r="E102" s="70"/>
      <c r="F102" s="21"/>
    </row>
    <row r="103" spans="1:6" ht="12.75" customHeight="1" x14ac:dyDescent="0.2">
      <c r="A103" s="44"/>
      <c r="B103" s="44"/>
      <c r="C103" s="44"/>
      <c r="D103" s="44"/>
      <c r="E103" s="70"/>
      <c r="F103" s="21"/>
    </row>
    <row r="104" spans="1:6" ht="12.75" customHeight="1" x14ac:dyDescent="0.2">
      <c r="A104" s="44"/>
      <c r="B104" s="44"/>
      <c r="C104" s="44"/>
      <c r="D104" s="44"/>
      <c r="E104" s="70"/>
      <c r="F104" s="21"/>
    </row>
    <row r="105" spans="1:6" ht="12.75" customHeight="1" x14ac:dyDescent="0.2">
      <c r="A105" s="44"/>
      <c r="B105" s="44"/>
      <c r="C105" s="44"/>
      <c r="D105" s="44"/>
      <c r="E105" s="70"/>
      <c r="F105" s="21"/>
    </row>
    <row r="106" spans="1:6" ht="12.75" customHeight="1" x14ac:dyDescent="0.2">
      <c r="A106" s="44"/>
      <c r="B106" s="44"/>
      <c r="C106" s="44"/>
      <c r="D106" s="44"/>
      <c r="E106" s="70"/>
      <c r="F106" s="21"/>
    </row>
    <row r="107" spans="1:6" ht="12.75" customHeight="1" x14ac:dyDescent="0.2">
      <c r="A107" s="44"/>
      <c r="B107" s="44"/>
      <c r="C107" s="44"/>
      <c r="D107" s="44"/>
      <c r="E107" s="70"/>
      <c r="F107" s="21"/>
    </row>
    <row r="108" spans="1:6" ht="12.75" customHeight="1" x14ac:dyDescent="0.2">
      <c r="A108" s="44"/>
      <c r="B108" s="44"/>
      <c r="C108" s="44"/>
      <c r="D108" s="44"/>
      <c r="E108" s="70"/>
      <c r="F108" s="21"/>
    </row>
    <row r="109" spans="1:6" ht="12.75" customHeight="1" x14ac:dyDescent="0.2">
      <c r="A109" s="44"/>
      <c r="B109" s="44"/>
      <c r="C109" s="44"/>
      <c r="D109" s="44"/>
      <c r="E109" s="70"/>
      <c r="F109" s="21"/>
    </row>
    <row r="110" spans="1:6" ht="12.75" customHeight="1" x14ac:dyDescent="0.2">
      <c r="A110" s="44"/>
      <c r="B110" s="44"/>
      <c r="C110" s="44"/>
      <c r="D110" s="44"/>
      <c r="E110" s="70"/>
      <c r="F110" s="21"/>
    </row>
    <row r="111" spans="1:6" ht="12.75" customHeight="1" x14ac:dyDescent="0.2">
      <c r="A111" s="44"/>
      <c r="B111" s="44"/>
      <c r="C111" s="44"/>
      <c r="D111" s="44"/>
      <c r="E111" s="70"/>
      <c r="F111" s="21"/>
    </row>
    <row r="112" spans="1:6" ht="12.75" customHeight="1" x14ac:dyDescent="0.2">
      <c r="A112" s="44"/>
      <c r="B112" s="44"/>
      <c r="C112" s="44"/>
      <c r="D112" s="44"/>
      <c r="E112" s="70"/>
      <c r="F112" s="21"/>
    </row>
    <row r="113" spans="1:6" ht="12.75" customHeight="1" x14ac:dyDescent="0.2">
      <c r="A113" s="44"/>
      <c r="B113" s="44"/>
      <c r="C113" s="44"/>
      <c r="D113" s="44"/>
      <c r="E113" s="70"/>
      <c r="F113" s="21"/>
    </row>
    <row r="114" spans="1:6" ht="12.75" customHeight="1" x14ac:dyDescent="0.2">
      <c r="A114" s="44"/>
      <c r="B114" s="44"/>
      <c r="C114" s="44"/>
      <c r="D114" s="44"/>
      <c r="E114" s="70"/>
      <c r="F114" s="21"/>
    </row>
    <row r="115" spans="1:6" ht="12.75" customHeight="1" x14ac:dyDescent="0.2">
      <c r="A115" s="44"/>
      <c r="B115" s="44"/>
      <c r="C115" s="44"/>
      <c r="D115" s="44"/>
      <c r="E115" s="70"/>
      <c r="F115" s="21"/>
    </row>
    <row r="116" spans="1:6" ht="12.75" customHeight="1" x14ac:dyDescent="0.2">
      <c r="A116" s="44"/>
      <c r="B116" s="44"/>
      <c r="C116" s="44"/>
      <c r="D116" s="44"/>
      <c r="E116" s="70"/>
      <c r="F116" s="21"/>
    </row>
    <row r="117" spans="1:6" ht="12.75" customHeight="1" x14ac:dyDescent="0.2">
      <c r="A117" s="44"/>
      <c r="B117" s="44"/>
      <c r="C117" s="44"/>
      <c r="D117" s="44"/>
      <c r="E117" s="70"/>
      <c r="F117" s="21"/>
    </row>
    <row r="118" spans="1:6" ht="12.75" customHeight="1" x14ac:dyDescent="0.2">
      <c r="A118" s="44"/>
      <c r="B118" s="44"/>
      <c r="C118" s="44"/>
      <c r="D118" s="44"/>
      <c r="E118" s="70"/>
      <c r="F118" s="21"/>
    </row>
    <row r="119" spans="1:6" ht="12.75" customHeight="1" x14ac:dyDescent="0.2">
      <c r="A119" s="44"/>
      <c r="B119" s="44"/>
      <c r="C119" s="44"/>
      <c r="D119" s="44"/>
      <c r="E119" s="70"/>
      <c r="F119" s="21"/>
    </row>
    <row r="120" spans="1:6" ht="12.75" customHeight="1" x14ac:dyDescent="0.2">
      <c r="A120" s="44"/>
      <c r="B120" s="44"/>
      <c r="C120" s="44"/>
      <c r="D120" s="44"/>
      <c r="E120" s="70"/>
      <c r="F120" s="21"/>
    </row>
    <row r="121" spans="1:6" ht="12.75" customHeight="1" x14ac:dyDescent="0.2">
      <c r="A121" s="44"/>
      <c r="B121" s="44"/>
      <c r="C121" s="44"/>
      <c r="D121" s="44"/>
      <c r="E121" s="70"/>
      <c r="F121" s="21"/>
    </row>
    <row r="122" spans="1:6" ht="12.75" customHeight="1" x14ac:dyDescent="0.2">
      <c r="A122" s="44"/>
      <c r="B122" s="44"/>
      <c r="C122" s="44"/>
      <c r="D122" s="44"/>
      <c r="E122" s="70"/>
      <c r="F122" s="21"/>
    </row>
    <row r="123" spans="1:6" ht="12.75" customHeight="1" x14ac:dyDescent="0.2">
      <c r="A123" s="44"/>
      <c r="B123" s="44"/>
      <c r="C123" s="44"/>
      <c r="D123" s="44"/>
      <c r="E123" s="70"/>
      <c r="F123" s="21"/>
    </row>
    <row r="124" spans="1:6" ht="12.75" customHeight="1" x14ac:dyDescent="0.2">
      <c r="A124" s="44"/>
      <c r="B124" s="44"/>
      <c r="C124" s="44"/>
      <c r="D124" s="44"/>
      <c r="E124" s="70"/>
      <c r="F124" s="21"/>
    </row>
    <row r="125" spans="1:6" ht="12.75" customHeight="1" x14ac:dyDescent="0.2">
      <c r="A125" s="44"/>
      <c r="B125" s="44"/>
      <c r="C125" s="44"/>
      <c r="D125" s="44"/>
      <c r="E125" s="70"/>
      <c r="F125" s="21"/>
    </row>
    <row r="126" spans="1:6" ht="12.75" customHeight="1" x14ac:dyDescent="0.2">
      <c r="A126" s="44"/>
      <c r="B126" s="44"/>
      <c r="C126" s="44"/>
      <c r="D126" s="44"/>
      <c r="E126" s="70"/>
      <c r="F126" s="21"/>
    </row>
    <row r="127" spans="1:6" ht="12.75" customHeight="1" x14ac:dyDescent="0.2">
      <c r="A127" s="44"/>
      <c r="B127" s="44"/>
      <c r="C127" s="44"/>
      <c r="D127" s="44"/>
      <c r="E127" s="70"/>
      <c r="F127" s="21"/>
    </row>
    <row r="128" spans="1:6" ht="12.75" customHeight="1" x14ac:dyDescent="0.2">
      <c r="A128" s="44"/>
      <c r="B128" s="44"/>
      <c r="C128" s="44"/>
      <c r="D128" s="44"/>
      <c r="E128" s="70"/>
      <c r="F128" s="21"/>
    </row>
    <row r="129" spans="1:6" ht="12.75" customHeight="1" x14ac:dyDescent="0.2">
      <c r="A129" s="44"/>
      <c r="B129" s="44"/>
      <c r="C129" s="44"/>
      <c r="D129" s="44"/>
      <c r="E129" s="70"/>
      <c r="F129" s="21"/>
    </row>
    <row r="130" spans="1:6" ht="12.75" customHeight="1" x14ac:dyDescent="0.2">
      <c r="A130" s="44"/>
      <c r="B130" s="44"/>
      <c r="C130" s="44"/>
      <c r="D130" s="44"/>
      <c r="E130" s="70"/>
      <c r="F130" s="21"/>
    </row>
    <row r="131" spans="1:6" ht="12.75" customHeight="1" x14ac:dyDescent="0.2">
      <c r="A131" s="44"/>
      <c r="B131" s="44"/>
      <c r="C131" s="44"/>
      <c r="D131" s="44"/>
      <c r="E131" s="70"/>
      <c r="F131" s="21"/>
    </row>
    <row r="132" spans="1:6" ht="12.75" customHeight="1" x14ac:dyDescent="0.2">
      <c r="A132" s="44"/>
      <c r="B132" s="44"/>
      <c r="C132" s="44"/>
      <c r="D132" s="44"/>
      <c r="E132" s="70"/>
      <c r="F132" s="21"/>
    </row>
    <row r="133" spans="1:6" ht="12.75" customHeight="1" x14ac:dyDescent="0.2">
      <c r="A133" s="44"/>
      <c r="B133" s="44"/>
      <c r="C133" s="44"/>
      <c r="D133" s="44"/>
      <c r="E133" s="70"/>
      <c r="F133" s="21"/>
    </row>
    <row r="134" spans="1:6" ht="12.75" customHeight="1" x14ac:dyDescent="0.2">
      <c r="A134" s="44"/>
      <c r="B134" s="44"/>
      <c r="C134" s="44"/>
      <c r="D134" s="44"/>
      <c r="E134" s="70"/>
      <c r="F134" s="21"/>
    </row>
    <row r="135" spans="1:6" ht="12.75" customHeight="1" x14ac:dyDescent="0.2">
      <c r="A135" s="44"/>
      <c r="B135" s="44"/>
      <c r="C135" s="44"/>
      <c r="D135" s="44"/>
      <c r="E135" s="70"/>
      <c r="F135" s="21"/>
    </row>
    <row r="136" spans="1:6" ht="12.75" customHeight="1" x14ac:dyDescent="0.2">
      <c r="A136" s="44"/>
      <c r="B136" s="44"/>
      <c r="C136" s="44"/>
      <c r="D136" s="44"/>
      <c r="E136" s="70"/>
      <c r="F136" s="21"/>
    </row>
    <row r="137" spans="1:6" ht="12.75" customHeight="1" x14ac:dyDescent="0.2">
      <c r="A137" s="44"/>
      <c r="B137" s="44"/>
      <c r="C137" s="44"/>
      <c r="D137" s="44"/>
      <c r="E137" s="70"/>
      <c r="F137" s="21"/>
    </row>
    <row r="138" spans="1:6" ht="12.75" customHeight="1" x14ac:dyDescent="0.2">
      <c r="A138" s="44"/>
      <c r="B138" s="44"/>
      <c r="C138" s="44"/>
      <c r="D138" s="44"/>
      <c r="E138" s="70"/>
      <c r="F138" s="21"/>
    </row>
    <row r="139" spans="1:6" ht="12.75" customHeight="1" x14ac:dyDescent="0.2">
      <c r="A139" s="44"/>
      <c r="B139" s="44"/>
      <c r="C139" s="44"/>
      <c r="D139" s="44"/>
      <c r="E139" s="70"/>
      <c r="F139" s="21"/>
    </row>
    <row r="140" spans="1:6" ht="12.75" customHeight="1" x14ac:dyDescent="0.2">
      <c r="A140" s="44"/>
      <c r="B140" s="44"/>
      <c r="C140" s="44"/>
      <c r="D140" s="44"/>
      <c r="E140" s="70"/>
      <c r="F140" s="21"/>
    </row>
    <row r="141" spans="1:6" ht="12.75" customHeight="1" x14ac:dyDescent="0.2">
      <c r="A141" s="44"/>
      <c r="B141" s="44"/>
      <c r="C141" s="44"/>
      <c r="D141" s="44"/>
      <c r="E141" s="70"/>
      <c r="F141" s="21"/>
    </row>
    <row r="142" spans="1:6" ht="12.75" customHeight="1" x14ac:dyDescent="0.2">
      <c r="A142" s="44"/>
      <c r="B142" s="44"/>
      <c r="C142" s="44"/>
      <c r="D142" s="44"/>
      <c r="E142" s="70"/>
      <c r="F142" s="21"/>
    </row>
    <row r="143" spans="1:6" ht="12.75" customHeight="1" x14ac:dyDescent="0.2">
      <c r="A143" s="44"/>
      <c r="B143" s="44"/>
      <c r="C143" s="44"/>
      <c r="D143" s="44"/>
      <c r="E143" s="70"/>
      <c r="F143" s="21"/>
    </row>
    <row r="144" spans="1:6" ht="12.75" customHeight="1" x14ac:dyDescent="0.2">
      <c r="A144" s="44"/>
      <c r="B144" s="44"/>
      <c r="C144" s="44"/>
      <c r="D144" s="44"/>
      <c r="E144" s="70"/>
      <c r="F144" s="21"/>
    </row>
    <row r="145" spans="1:6" ht="12.75" customHeight="1" x14ac:dyDescent="0.2">
      <c r="A145" s="44"/>
      <c r="B145" s="44"/>
      <c r="C145" s="44"/>
      <c r="D145" s="44"/>
      <c r="E145" s="70"/>
      <c r="F145" s="21"/>
    </row>
    <row r="146" spans="1:6" ht="12.75" customHeight="1" x14ac:dyDescent="0.2">
      <c r="A146" s="44"/>
      <c r="B146" s="44"/>
      <c r="C146" s="44"/>
      <c r="D146" s="44"/>
      <c r="E146" s="70"/>
      <c r="F146" s="21"/>
    </row>
    <row r="147" spans="1:6" ht="12.75" customHeight="1" x14ac:dyDescent="0.2">
      <c r="A147" s="44"/>
      <c r="B147" s="44"/>
      <c r="C147" s="44"/>
      <c r="D147" s="44"/>
      <c r="E147" s="70"/>
      <c r="F147" s="21"/>
    </row>
    <row r="148" spans="1:6" ht="12.75" customHeight="1" x14ac:dyDescent="0.2">
      <c r="A148" s="44"/>
      <c r="B148" s="44"/>
      <c r="C148" s="44"/>
      <c r="D148" s="44"/>
      <c r="E148" s="70"/>
      <c r="F148" s="21"/>
    </row>
    <row r="149" spans="1:6" ht="12.75" customHeight="1" x14ac:dyDescent="0.2">
      <c r="A149" s="44"/>
      <c r="B149" s="44"/>
      <c r="C149" s="44"/>
      <c r="D149" s="44"/>
      <c r="E149" s="70"/>
      <c r="F149" s="21"/>
    </row>
    <row r="150" spans="1:6" ht="12.75" customHeight="1" x14ac:dyDescent="0.2">
      <c r="A150" s="44"/>
      <c r="B150" s="44"/>
      <c r="C150" s="44"/>
      <c r="D150" s="44"/>
      <c r="E150" s="70"/>
      <c r="F150" s="21"/>
    </row>
    <row r="151" spans="1:6" ht="12.75" customHeight="1" x14ac:dyDescent="0.2">
      <c r="A151" s="44"/>
      <c r="B151" s="44"/>
      <c r="C151" s="44"/>
      <c r="D151" s="44"/>
      <c r="E151" s="70"/>
      <c r="F151" s="21"/>
    </row>
    <row r="152" spans="1:6" ht="12.75" customHeight="1" x14ac:dyDescent="0.2">
      <c r="A152" s="44"/>
      <c r="B152" s="44"/>
      <c r="C152" s="44"/>
      <c r="D152" s="44"/>
      <c r="E152" s="70"/>
      <c r="F152" s="21"/>
    </row>
    <row r="153" spans="1:6" ht="12.75" customHeight="1" x14ac:dyDescent="0.2">
      <c r="A153" s="44"/>
      <c r="B153" s="44"/>
      <c r="C153" s="44"/>
      <c r="D153" s="44"/>
      <c r="E153" s="70"/>
      <c r="F153" s="21"/>
    </row>
    <row r="154" spans="1:6" ht="12.75" customHeight="1" x14ac:dyDescent="0.2">
      <c r="A154" s="44"/>
      <c r="B154" s="44"/>
      <c r="C154" s="44"/>
      <c r="D154" s="44"/>
      <c r="E154" s="70"/>
      <c r="F154" s="21"/>
    </row>
    <row r="155" spans="1:6" ht="12.75" customHeight="1" x14ac:dyDescent="0.2">
      <c r="A155" s="44"/>
      <c r="B155" s="44"/>
      <c r="C155" s="44"/>
      <c r="D155" s="44"/>
      <c r="E155" s="70"/>
      <c r="F155" s="21"/>
    </row>
    <row r="156" spans="1:6" ht="12.75" customHeight="1" x14ac:dyDescent="0.2">
      <c r="A156" s="44"/>
      <c r="B156" s="44"/>
      <c r="C156" s="44"/>
      <c r="D156" s="44"/>
      <c r="E156" s="70"/>
      <c r="F156" s="21"/>
    </row>
    <row r="157" spans="1:6" ht="12.75" customHeight="1" x14ac:dyDescent="0.2">
      <c r="A157" s="44"/>
      <c r="B157" s="44"/>
      <c r="C157" s="44"/>
      <c r="D157" s="44"/>
      <c r="E157" s="70"/>
      <c r="F157" s="21"/>
    </row>
    <row r="158" spans="1:6" ht="12.75" customHeight="1" x14ac:dyDescent="0.2">
      <c r="A158" s="44"/>
      <c r="B158" s="44"/>
      <c r="C158" s="44"/>
      <c r="D158" s="44"/>
      <c r="E158" s="70"/>
      <c r="F158" s="21"/>
    </row>
    <row r="159" spans="1:6" ht="12.75" customHeight="1" x14ac:dyDescent="0.2">
      <c r="A159" s="44"/>
      <c r="B159" s="44"/>
      <c r="C159" s="44"/>
      <c r="D159" s="44"/>
      <c r="E159" s="70"/>
      <c r="F159" s="21"/>
    </row>
    <row r="160" spans="1:6" ht="12.75" customHeight="1" x14ac:dyDescent="0.2">
      <c r="A160" s="44"/>
      <c r="B160" s="44"/>
      <c r="C160" s="44"/>
      <c r="D160" s="44"/>
      <c r="E160" s="70"/>
      <c r="F160" s="21"/>
    </row>
    <row r="161" spans="1:6" ht="12.75" customHeight="1" x14ac:dyDescent="0.2">
      <c r="A161" s="44"/>
      <c r="B161" s="44"/>
      <c r="C161" s="44"/>
      <c r="D161" s="44"/>
      <c r="E161" s="70"/>
      <c r="F161" s="21"/>
    </row>
    <row r="162" spans="1:6" ht="12.75" customHeight="1" x14ac:dyDescent="0.2">
      <c r="A162" s="44"/>
      <c r="B162" s="44"/>
      <c r="C162" s="44"/>
      <c r="D162" s="44"/>
      <c r="E162" s="70"/>
      <c r="F162" s="21"/>
    </row>
    <row r="163" spans="1:6" ht="12.75" customHeight="1" x14ac:dyDescent="0.2">
      <c r="A163" s="44"/>
      <c r="B163" s="44"/>
      <c r="C163" s="44"/>
      <c r="D163" s="44"/>
      <c r="E163" s="70"/>
      <c r="F163" s="21"/>
    </row>
    <row r="164" spans="1:6" ht="12.75" customHeight="1" x14ac:dyDescent="0.2">
      <c r="A164" s="44"/>
      <c r="B164" s="44"/>
      <c r="C164" s="44"/>
      <c r="D164" s="44"/>
      <c r="E164" s="70"/>
      <c r="F164" s="21"/>
    </row>
    <row r="165" spans="1:6" ht="12.75" customHeight="1" x14ac:dyDescent="0.2">
      <c r="A165" s="44"/>
      <c r="B165" s="44"/>
      <c r="C165" s="44"/>
      <c r="D165" s="44"/>
      <c r="E165" s="70"/>
      <c r="F165" s="21"/>
    </row>
    <row r="166" spans="1:6" ht="12.75" customHeight="1" x14ac:dyDescent="0.2">
      <c r="A166" s="44"/>
      <c r="B166" s="44"/>
      <c r="C166" s="44"/>
      <c r="D166" s="44"/>
      <c r="E166" s="70"/>
      <c r="F166" s="21"/>
    </row>
    <row r="167" spans="1:6" ht="12.75" customHeight="1" x14ac:dyDescent="0.2">
      <c r="A167" s="44"/>
      <c r="B167" s="44"/>
      <c r="C167" s="44"/>
      <c r="D167" s="44"/>
      <c r="E167" s="70"/>
      <c r="F167" s="21"/>
    </row>
    <row r="168" spans="1:6" ht="12.75" customHeight="1" x14ac:dyDescent="0.2">
      <c r="A168" s="44"/>
      <c r="B168" s="44"/>
      <c r="C168" s="44"/>
      <c r="D168" s="44"/>
      <c r="E168" s="70"/>
      <c r="F168" s="21"/>
    </row>
    <row r="169" spans="1:6" ht="12.75" customHeight="1" x14ac:dyDescent="0.2">
      <c r="A169" s="44"/>
      <c r="B169" s="44"/>
      <c r="C169" s="44"/>
      <c r="D169" s="44"/>
      <c r="E169" s="70"/>
      <c r="F169" s="21"/>
    </row>
    <row r="170" spans="1:6" ht="12.75" customHeight="1" x14ac:dyDescent="0.2">
      <c r="A170" s="44"/>
      <c r="B170" s="44"/>
      <c r="C170" s="44"/>
      <c r="D170" s="44"/>
      <c r="E170" s="70"/>
      <c r="F170" s="21"/>
    </row>
    <row r="171" spans="1:6" ht="12.75" customHeight="1" x14ac:dyDescent="0.2">
      <c r="A171" s="44"/>
      <c r="B171" s="44"/>
      <c r="C171" s="44"/>
      <c r="D171" s="44"/>
      <c r="E171" s="70"/>
      <c r="F171" s="21"/>
    </row>
    <row r="172" spans="1:6" ht="12.75" customHeight="1" x14ac:dyDescent="0.2">
      <c r="A172" s="44"/>
      <c r="B172" s="44"/>
      <c r="C172" s="44"/>
      <c r="D172" s="44"/>
      <c r="E172" s="70"/>
      <c r="F172" s="21"/>
    </row>
    <row r="173" spans="1:6" ht="12.75" customHeight="1" x14ac:dyDescent="0.2">
      <c r="A173" s="44"/>
      <c r="B173" s="44"/>
      <c r="C173" s="44"/>
      <c r="D173" s="44"/>
      <c r="E173" s="70"/>
      <c r="F173" s="21"/>
    </row>
    <row r="174" spans="1:6" ht="12.75" customHeight="1" x14ac:dyDescent="0.2">
      <c r="A174" s="44"/>
      <c r="B174" s="44"/>
      <c r="C174" s="44"/>
      <c r="D174" s="44"/>
      <c r="E174" s="70"/>
      <c r="F174" s="21"/>
    </row>
    <row r="175" spans="1:6" ht="12.75" customHeight="1" x14ac:dyDescent="0.2">
      <c r="A175" s="44"/>
      <c r="B175" s="44"/>
      <c r="C175" s="44"/>
      <c r="D175" s="44"/>
      <c r="E175" s="70"/>
      <c r="F175" s="21"/>
    </row>
    <row r="176" spans="1:6" ht="12.75" customHeight="1" x14ac:dyDescent="0.2">
      <c r="A176" s="44"/>
      <c r="B176" s="44"/>
      <c r="C176" s="44"/>
      <c r="D176" s="44"/>
      <c r="E176" s="70"/>
      <c r="F176" s="21"/>
    </row>
    <row r="177" spans="1:6" ht="12.75" customHeight="1" x14ac:dyDescent="0.2">
      <c r="A177" s="44"/>
      <c r="B177" s="44"/>
      <c r="C177" s="44"/>
      <c r="D177" s="44"/>
      <c r="E177" s="70"/>
      <c r="F177" s="21"/>
    </row>
    <row r="178" spans="1:6" ht="12.75" customHeight="1" x14ac:dyDescent="0.2">
      <c r="A178" s="44"/>
      <c r="B178" s="44"/>
      <c r="C178" s="44"/>
      <c r="D178" s="44"/>
      <c r="E178" s="70"/>
      <c r="F178" s="21"/>
    </row>
    <row r="179" spans="1:6" ht="12.75" customHeight="1" x14ac:dyDescent="0.2">
      <c r="A179" s="44"/>
      <c r="B179" s="44"/>
      <c r="C179" s="44"/>
      <c r="D179" s="44"/>
      <c r="E179" s="70"/>
      <c r="F179" s="21"/>
    </row>
    <row r="180" spans="1:6" ht="12.75" customHeight="1" x14ac:dyDescent="0.2">
      <c r="A180" s="44"/>
      <c r="B180" s="44"/>
      <c r="C180" s="44"/>
      <c r="D180" s="44"/>
      <c r="E180" s="70"/>
      <c r="F180" s="21"/>
    </row>
    <row r="181" spans="1:6" ht="12.75" customHeight="1" x14ac:dyDescent="0.2">
      <c r="A181" s="44"/>
      <c r="B181" s="44"/>
      <c r="C181" s="44"/>
      <c r="D181" s="44"/>
      <c r="E181" s="70"/>
      <c r="F181" s="21"/>
    </row>
    <row r="182" spans="1:6" ht="12.75" customHeight="1" x14ac:dyDescent="0.2">
      <c r="A182" s="44"/>
      <c r="B182" s="44"/>
      <c r="C182" s="44"/>
      <c r="D182" s="44"/>
      <c r="E182" s="70"/>
      <c r="F182" s="21"/>
    </row>
    <row r="183" spans="1:6" ht="12.75" customHeight="1" x14ac:dyDescent="0.2">
      <c r="A183" s="44"/>
      <c r="B183" s="44"/>
      <c r="C183" s="44"/>
      <c r="D183" s="44"/>
      <c r="E183" s="70"/>
      <c r="F183" s="21"/>
    </row>
    <row r="184" spans="1:6" ht="12.75" customHeight="1" x14ac:dyDescent="0.2">
      <c r="A184" s="44"/>
      <c r="B184" s="44"/>
      <c r="C184" s="44"/>
      <c r="D184" s="44"/>
      <c r="E184" s="70"/>
      <c r="F184" s="21"/>
    </row>
    <row r="185" spans="1:6" ht="12.75" customHeight="1" x14ac:dyDescent="0.2">
      <c r="A185" s="44"/>
      <c r="B185" s="44"/>
      <c r="C185" s="44"/>
      <c r="D185" s="44"/>
      <c r="E185" s="70"/>
      <c r="F185" s="21"/>
    </row>
    <row r="186" spans="1:6" ht="12.75" customHeight="1" x14ac:dyDescent="0.2">
      <c r="A186" s="44"/>
      <c r="B186" s="44"/>
      <c r="C186" s="44"/>
      <c r="D186" s="44"/>
      <c r="E186" s="70"/>
      <c r="F186" s="21"/>
    </row>
    <row r="187" spans="1:6" ht="12.75" customHeight="1" x14ac:dyDescent="0.2">
      <c r="A187" s="44"/>
      <c r="B187" s="44"/>
      <c r="C187" s="44"/>
      <c r="D187" s="44"/>
      <c r="E187" s="70"/>
      <c r="F187" s="21"/>
    </row>
    <row r="188" spans="1:6" ht="12.75" customHeight="1" x14ac:dyDescent="0.2">
      <c r="A188" s="44"/>
      <c r="B188" s="44"/>
      <c r="C188" s="44"/>
      <c r="D188" s="44"/>
      <c r="E188" s="70"/>
      <c r="F188" s="21"/>
    </row>
    <row r="189" spans="1:6" ht="12.75" customHeight="1" x14ac:dyDescent="0.2">
      <c r="A189" s="44"/>
      <c r="B189" s="44"/>
      <c r="C189" s="44"/>
      <c r="D189" s="44"/>
      <c r="E189" s="70"/>
      <c r="F189" s="21"/>
    </row>
    <row r="190" spans="1:6" ht="12.75" customHeight="1" x14ac:dyDescent="0.2">
      <c r="A190" s="44"/>
      <c r="B190" s="44"/>
      <c r="C190" s="44"/>
      <c r="D190" s="44"/>
      <c r="E190" s="70"/>
      <c r="F190" s="21"/>
    </row>
    <row r="191" spans="1:6" ht="12.75" customHeight="1" x14ac:dyDescent="0.2">
      <c r="A191" s="44"/>
      <c r="B191" s="44"/>
      <c r="C191" s="44"/>
      <c r="D191" s="44"/>
      <c r="E191" s="70"/>
      <c r="F191" s="21"/>
    </row>
    <row r="192" spans="1:6" ht="12.75" customHeight="1" x14ac:dyDescent="0.2">
      <c r="A192" s="44"/>
      <c r="B192" s="44"/>
      <c r="C192" s="44"/>
      <c r="D192" s="44"/>
      <c r="E192" s="70"/>
      <c r="F192" s="21"/>
    </row>
    <row r="193" spans="1:6" ht="12.75" customHeight="1" x14ac:dyDescent="0.2">
      <c r="A193" s="44"/>
      <c r="B193" s="44"/>
      <c r="C193" s="44"/>
      <c r="D193" s="44"/>
      <c r="E193" s="70"/>
      <c r="F193" s="21"/>
    </row>
    <row r="194" spans="1:6" ht="12.75" customHeight="1" x14ac:dyDescent="0.2">
      <c r="A194" s="44"/>
      <c r="B194" s="44"/>
      <c r="C194" s="44"/>
      <c r="D194" s="44"/>
      <c r="E194" s="70"/>
      <c r="F194" s="21"/>
    </row>
    <row r="195" spans="1:6" ht="12.75" customHeight="1" x14ac:dyDescent="0.2">
      <c r="A195" s="44"/>
      <c r="B195" s="44"/>
      <c r="C195" s="44"/>
      <c r="D195" s="44"/>
      <c r="E195" s="70"/>
      <c r="F195" s="21"/>
    </row>
    <row r="196" spans="1:6" ht="12.75" customHeight="1" x14ac:dyDescent="0.2">
      <c r="A196" s="44"/>
      <c r="B196" s="44"/>
      <c r="C196" s="44"/>
      <c r="D196" s="44"/>
      <c r="E196" s="70"/>
      <c r="F196" s="21"/>
    </row>
    <row r="197" spans="1:6" ht="12.75" customHeight="1" x14ac:dyDescent="0.2">
      <c r="A197" s="44"/>
      <c r="B197" s="44"/>
      <c r="C197" s="44"/>
      <c r="D197" s="44"/>
      <c r="E197" s="70"/>
      <c r="F197" s="21"/>
    </row>
    <row r="198" spans="1:6" ht="12.75" customHeight="1" x14ac:dyDescent="0.2">
      <c r="A198" s="44"/>
      <c r="B198" s="44"/>
      <c r="C198" s="44"/>
      <c r="D198" s="44"/>
      <c r="E198" s="70"/>
      <c r="F198" s="21"/>
    </row>
    <row r="199" spans="1:6" ht="12.75" customHeight="1" x14ac:dyDescent="0.2">
      <c r="A199" s="44"/>
      <c r="B199" s="44"/>
      <c r="C199" s="44"/>
      <c r="D199" s="44"/>
      <c r="E199" s="70"/>
      <c r="F199" s="21"/>
    </row>
    <row r="200" spans="1:6" ht="12.75" customHeight="1" x14ac:dyDescent="0.2">
      <c r="A200" s="44"/>
      <c r="B200" s="44"/>
      <c r="C200" s="44"/>
      <c r="D200" s="44"/>
      <c r="E200" s="70"/>
      <c r="F200" s="21"/>
    </row>
    <row r="201" spans="1:6" ht="12.75" customHeight="1" x14ac:dyDescent="0.2">
      <c r="A201" s="44"/>
      <c r="B201" s="44"/>
      <c r="C201" s="44"/>
      <c r="D201" s="44"/>
      <c r="E201" s="70"/>
      <c r="F201" s="21"/>
    </row>
    <row r="202" spans="1:6" ht="12.75" customHeight="1" x14ac:dyDescent="0.2">
      <c r="A202" s="44"/>
      <c r="B202" s="44"/>
      <c r="C202" s="44"/>
      <c r="D202" s="44"/>
      <c r="E202" s="70"/>
      <c r="F202" s="21"/>
    </row>
    <row r="203" spans="1:6" ht="12.75" customHeight="1" x14ac:dyDescent="0.2">
      <c r="A203" s="44"/>
      <c r="B203" s="44"/>
      <c r="C203" s="44"/>
      <c r="D203" s="44"/>
      <c r="E203" s="70"/>
      <c r="F203" s="21"/>
    </row>
    <row r="204" spans="1:6" ht="12.75" customHeight="1" x14ac:dyDescent="0.2">
      <c r="A204" s="44"/>
      <c r="B204" s="44"/>
      <c r="C204" s="44"/>
      <c r="D204" s="44"/>
      <c r="E204" s="70"/>
      <c r="F204" s="21"/>
    </row>
    <row r="205" spans="1:6" ht="12.75" customHeight="1" x14ac:dyDescent="0.2">
      <c r="A205" s="44"/>
      <c r="B205" s="44"/>
      <c r="C205" s="44"/>
      <c r="D205" s="44"/>
      <c r="E205" s="70"/>
      <c r="F205" s="21"/>
    </row>
    <row r="206" spans="1:6" ht="12.75" customHeight="1" x14ac:dyDescent="0.2">
      <c r="A206" s="44"/>
      <c r="B206" s="44"/>
      <c r="C206" s="44"/>
      <c r="D206" s="44"/>
      <c r="E206" s="70"/>
      <c r="F206" s="21"/>
    </row>
    <row r="207" spans="1:6" ht="12.75" customHeight="1" x14ac:dyDescent="0.2">
      <c r="A207" s="44"/>
      <c r="B207" s="44"/>
      <c r="C207" s="44"/>
      <c r="D207" s="44"/>
      <c r="E207" s="70"/>
      <c r="F207" s="21"/>
    </row>
    <row r="208" spans="1:6" ht="12.75" customHeight="1" x14ac:dyDescent="0.2">
      <c r="A208" s="44"/>
      <c r="B208" s="44"/>
      <c r="C208" s="44"/>
      <c r="D208" s="44"/>
      <c r="E208" s="70"/>
      <c r="F208" s="21"/>
    </row>
    <row r="209" spans="1:6" ht="12.75" customHeight="1" x14ac:dyDescent="0.2">
      <c r="A209" s="44"/>
      <c r="B209" s="44"/>
      <c r="C209" s="44"/>
      <c r="D209" s="44"/>
      <c r="E209" s="70"/>
      <c r="F209" s="21"/>
    </row>
    <row r="210" spans="1:6" ht="12.75" customHeight="1" x14ac:dyDescent="0.2">
      <c r="A210" s="44"/>
      <c r="B210" s="44"/>
      <c r="C210" s="44"/>
      <c r="D210" s="44"/>
      <c r="E210" s="70"/>
      <c r="F210" s="21"/>
    </row>
    <row r="211" spans="1:6" ht="12.75" customHeight="1" x14ac:dyDescent="0.2">
      <c r="A211" s="44"/>
      <c r="B211" s="44"/>
      <c r="C211" s="44"/>
      <c r="D211" s="44"/>
      <c r="E211" s="70"/>
      <c r="F211" s="21"/>
    </row>
    <row r="212" spans="1:6" ht="12.75" customHeight="1" x14ac:dyDescent="0.2">
      <c r="A212" s="44"/>
      <c r="B212" s="44"/>
      <c r="C212" s="44"/>
      <c r="D212" s="44"/>
      <c r="E212" s="70"/>
      <c r="F212" s="21"/>
    </row>
    <row r="213" spans="1:6" ht="12.75" customHeight="1" x14ac:dyDescent="0.2">
      <c r="A213" s="44"/>
      <c r="B213" s="44"/>
      <c r="C213" s="44"/>
      <c r="D213" s="44"/>
      <c r="E213" s="70"/>
      <c r="F213" s="21"/>
    </row>
    <row r="214" spans="1:6" ht="12.75" customHeight="1" x14ac:dyDescent="0.2">
      <c r="A214" s="44"/>
      <c r="B214" s="44"/>
      <c r="C214" s="44"/>
      <c r="D214" s="44"/>
      <c r="E214" s="70"/>
      <c r="F214" s="21"/>
    </row>
    <row r="215" spans="1:6" ht="12.75" customHeight="1" x14ac:dyDescent="0.2">
      <c r="A215" s="44"/>
      <c r="B215" s="44"/>
      <c r="C215" s="44"/>
      <c r="D215" s="44"/>
      <c r="E215" s="70"/>
      <c r="F215" s="21"/>
    </row>
    <row r="216" spans="1:6" ht="12.75" customHeight="1" x14ac:dyDescent="0.2">
      <c r="A216" s="44"/>
      <c r="B216" s="44"/>
      <c r="C216" s="44"/>
      <c r="D216" s="44"/>
      <c r="E216" s="70"/>
      <c r="F216" s="21"/>
    </row>
    <row r="217" spans="1:6" ht="12.75" customHeight="1" x14ac:dyDescent="0.2">
      <c r="A217" s="44"/>
      <c r="B217" s="44"/>
      <c r="C217" s="44"/>
      <c r="D217" s="44"/>
      <c r="E217" s="70"/>
      <c r="F217" s="21"/>
    </row>
    <row r="218" spans="1:6" ht="12.75" customHeight="1" x14ac:dyDescent="0.2">
      <c r="A218" s="44"/>
      <c r="B218" s="44"/>
      <c r="C218" s="44"/>
      <c r="D218" s="44"/>
      <c r="E218" s="70"/>
      <c r="F218" s="21"/>
    </row>
    <row r="219" spans="1:6" ht="12.75" customHeight="1" x14ac:dyDescent="0.2">
      <c r="A219" s="44"/>
      <c r="B219" s="44"/>
      <c r="C219" s="44"/>
      <c r="D219" s="44"/>
      <c r="E219" s="70"/>
      <c r="F219" s="21"/>
    </row>
    <row r="220" spans="1:6" ht="12.75" customHeight="1" x14ac:dyDescent="0.2">
      <c r="A220" s="44"/>
      <c r="B220" s="44"/>
      <c r="C220" s="44"/>
      <c r="D220" s="44"/>
      <c r="E220" s="70"/>
      <c r="F220" s="21"/>
    </row>
    <row r="221" spans="1:6" ht="12.75" customHeight="1" x14ac:dyDescent="0.2">
      <c r="A221" s="44"/>
      <c r="B221" s="44"/>
      <c r="C221" s="44"/>
      <c r="D221" s="44"/>
      <c r="E221" s="70"/>
      <c r="F221" s="21"/>
    </row>
    <row r="222" spans="1:6" ht="12.75" customHeight="1" x14ac:dyDescent="0.2">
      <c r="A222" s="44"/>
      <c r="B222" s="44"/>
      <c r="C222" s="44"/>
      <c r="D222" s="44"/>
      <c r="E222" s="70"/>
      <c r="F222" s="21"/>
    </row>
    <row r="223" spans="1:6" ht="12.75" customHeight="1" x14ac:dyDescent="0.2">
      <c r="A223" s="44"/>
      <c r="B223" s="44"/>
      <c r="C223" s="44"/>
      <c r="D223" s="44"/>
      <c r="E223" s="70"/>
      <c r="F223" s="21"/>
    </row>
    <row r="224" spans="1:6" ht="12.75" customHeight="1" x14ac:dyDescent="0.2">
      <c r="A224" s="44"/>
      <c r="B224" s="44"/>
      <c r="C224" s="44"/>
      <c r="D224" s="44"/>
      <c r="E224" s="70"/>
      <c r="F224" s="21"/>
    </row>
    <row r="225" spans="1:6" ht="12.75" customHeight="1" x14ac:dyDescent="0.2">
      <c r="A225" s="44"/>
      <c r="B225" s="44"/>
      <c r="C225" s="44"/>
      <c r="D225" s="44"/>
      <c r="E225" s="70"/>
      <c r="F225" s="21"/>
    </row>
    <row r="226" spans="1:6" ht="12.75" customHeight="1" x14ac:dyDescent="0.2">
      <c r="A226" s="44"/>
      <c r="B226" s="44"/>
      <c r="C226" s="44"/>
      <c r="D226" s="44"/>
      <c r="E226" s="70"/>
      <c r="F226" s="21"/>
    </row>
    <row r="227" spans="1:6" ht="12.75" customHeight="1" x14ac:dyDescent="0.2">
      <c r="A227" s="44"/>
      <c r="B227" s="44"/>
      <c r="C227" s="44"/>
      <c r="D227" s="44"/>
      <c r="E227" s="70"/>
      <c r="F227" s="21"/>
    </row>
    <row r="228" spans="1:6" ht="12.75" customHeight="1" x14ac:dyDescent="0.2">
      <c r="A228" s="44"/>
      <c r="B228" s="44"/>
      <c r="C228" s="44"/>
      <c r="D228" s="44"/>
      <c r="E228" s="70"/>
      <c r="F228" s="21"/>
    </row>
    <row r="229" spans="1:6" ht="12.75" customHeight="1" x14ac:dyDescent="0.2">
      <c r="A229" s="44"/>
      <c r="B229" s="44"/>
      <c r="C229" s="44"/>
      <c r="D229" s="44"/>
      <c r="E229" s="70"/>
      <c r="F229" s="21"/>
    </row>
    <row r="230" spans="1:6" ht="12.75" customHeight="1" x14ac:dyDescent="0.2">
      <c r="A230" s="44"/>
      <c r="B230" s="44"/>
      <c r="C230" s="44"/>
      <c r="D230" s="44"/>
      <c r="E230" s="70"/>
      <c r="F230" s="21"/>
    </row>
    <row r="231" spans="1:6" ht="12.75" customHeight="1" x14ac:dyDescent="0.2">
      <c r="A231" s="44"/>
      <c r="B231" s="44"/>
      <c r="C231" s="44"/>
      <c r="D231" s="44"/>
      <c r="E231" s="70"/>
      <c r="F231" s="21"/>
    </row>
    <row r="232" spans="1:6" ht="12.75" customHeight="1" x14ac:dyDescent="0.2">
      <c r="A232" s="44"/>
      <c r="B232" s="44"/>
      <c r="C232" s="44"/>
      <c r="D232" s="44"/>
      <c r="E232" s="70"/>
      <c r="F232" s="21"/>
    </row>
    <row r="233" spans="1:6" ht="12.75" customHeight="1" x14ac:dyDescent="0.2">
      <c r="A233" s="44"/>
      <c r="B233" s="44"/>
      <c r="C233" s="44"/>
      <c r="D233" s="44"/>
      <c r="E233" s="70"/>
      <c r="F233" s="21"/>
    </row>
    <row r="234" spans="1:6" ht="12.75" customHeight="1" x14ac:dyDescent="0.2">
      <c r="A234" s="44"/>
      <c r="B234" s="44"/>
      <c r="C234" s="44"/>
      <c r="D234" s="44"/>
      <c r="E234" s="70"/>
      <c r="F234" s="21"/>
    </row>
    <row r="235" spans="1:6" ht="12.75" customHeight="1" x14ac:dyDescent="0.2">
      <c r="A235" s="44"/>
      <c r="B235" s="44"/>
      <c r="C235" s="44"/>
      <c r="D235" s="44"/>
      <c r="E235" s="70"/>
      <c r="F235" s="21"/>
    </row>
    <row r="236" spans="1:6" ht="12.75" customHeight="1" x14ac:dyDescent="0.2">
      <c r="A236" s="44"/>
      <c r="B236" s="44"/>
      <c r="C236" s="44"/>
      <c r="D236" s="44"/>
      <c r="E236" s="70"/>
      <c r="F236" s="21"/>
    </row>
    <row r="237" spans="1:6" ht="12.75" customHeight="1" x14ac:dyDescent="0.2">
      <c r="A237" s="44"/>
      <c r="B237" s="44"/>
      <c r="C237" s="44"/>
      <c r="D237" s="44"/>
      <c r="E237" s="70"/>
      <c r="F237" s="21"/>
    </row>
    <row r="238" spans="1:6" ht="12.75" customHeight="1" x14ac:dyDescent="0.2">
      <c r="A238" s="44"/>
      <c r="B238" s="44"/>
      <c r="C238" s="44"/>
      <c r="D238" s="44"/>
      <c r="E238" s="70"/>
      <c r="F238" s="21"/>
    </row>
    <row r="239" spans="1:6" ht="12.75" customHeight="1" x14ac:dyDescent="0.2">
      <c r="A239" s="44"/>
      <c r="B239" s="44"/>
      <c r="C239" s="44"/>
      <c r="D239" s="44"/>
      <c r="E239" s="70"/>
      <c r="F239" s="21"/>
    </row>
    <row r="240" spans="1:6" ht="12.75" customHeight="1" x14ac:dyDescent="0.2">
      <c r="A240" s="44"/>
      <c r="B240" s="44"/>
      <c r="C240" s="44"/>
      <c r="D240" s="44"/>
      <c r="E240" s="70"/>
      <c r="F240" s="21"/>
    </row>
    <row r="241" spans="1:6" ht="12.75" customHeight="1" x14ac:dyDescent="0.2">
      <c r="A241" s="44"/>
      <c r="B241" s="44"/>
      <c r="C241" s="44"/>
      <c r="D241" s="44"/>
      <c r="E241" s="70"/>
      <c r="F241" s="21"/>
    </row>
    <row r="242" spans="1:6" ht="12.75" customHeight="1" x14ac:dyDescent="0.2">
      <c r="A242" s="44"/>
      <c r="B242" s="44"/>
      <c r="C242" s="44"/>
      <c r="D242" s="44"/>
      <c r="E242" s="70"/>
      <c r="F242" s="21"/>
    </row>
    <row r="243" spans="1:6" ht="12.75" customHeight="1" x14ac:dyDescent="0.2">
      <c r="A243" s="44"/>
      <c r="B243" s="44"/>
      <c r="C243" s="44"/>
      <c r="D243" s="44"/>
      <c r="E243" s="70"/>
      <c r="F243" s="21"/>
    </row>
    <row r="244" spans="1:6" ht="12.75" customHeight="1" x14ac:dyDescent="0.2">
      <c r="A244" s="44"/>
      <c r="B244" s="44"/>
      <c r="C244" s="44"/>
      <c r="D244" s="44"/>
      <c r="E244" s="70"/>
      <c r="F244" s="21"/>
    </row>
    <row r="245" spans="1:6" ht="12.75" customHeight="1" x14ac:dyDescent="0.2">
      <c r="A245" s="44"/>
      <c r="B245" s="44"/>
      <c r="C245" s="44"/>
      <c r="D245" s="44"/>
      <c r="E245" s="70"/>
      <c r="F245" s="21"/>
    </row>
    <row r="246" spans="1:6" ht="12.75" customHeight="1" x14ac:dyDescent="0.2">
      <c r="A246" s="44"/>
      <c r="B246" s="44"/>
      <c r="C246" s="44"/>
      <c r="D246" s="44"/>
      <c r="E246" s="70"/>
      <c r="F246" s="21"/>
    </row>
    <row r="247" spans="1:6" ht="12.75" customHeight="1" x14ac:dyDescent="0.2">
      <c r="A247" s="44"/>
      <c r="B247" s="44"/>
      <c r="C247" s="44"/>
      <c r="D247" s="44"/>
      <c r="E247" s="70"/>
      <c r="F247" s="21"/>
    </row>
    <row r="248" spans="1:6" ht="12.75" customHeight="1" x14ac:dyDescent="0.2">
      <c r="A248" s="44"/>
      <c r="B248" s="44"/>
      <c r="C248" s="44"/>
      <c r="D248" s="44"/>
      <c r="E248" s="70"/>
      <c r="F248" s="21"/>
    </row>
    <row r="249" spans="1:6" ht="12.75" customHeight="1" x14ac:dyDescent="0.2">
      <c r="A249" s="44"/>
      <c r="B249" s="44"/>
      <c r="C249" s="44"/>
      <c r="D249" s="44"/>
      <c r="E249" s="70"/>
      <c r="F249" s="21"/>
    </row>
    <row r="250" spans="1:6" ht="12.75" customHeight="1" x14ac:dyDescent="0.2">
      <c r="A250" s="44"/>
      <c r="B250" s="44"/>
      <c r="C250" s="44"/>
      <c r="D250" s="44"/>
      <c r="E250" s="70"/>
      <c r="F250" s="21"/>
    </row>
    <row r="251" spans="1:6" ht="12.75" customHeight="1" x14ac:dyDescent="0.2">
      <c r="A251" s="44"/>
      <c r="B251" s="44"/>
      <c r="C251" s="44"/>
      <c r="D251" s="44"/>
      <c r="E251" s="70"/>
      <c r="F251" s="21"/>
    </row>
    <row r="252" spans="1:6" ht="12.75" customHeight="1" x14ac:dyDescent="0.2">
      <c r="A252" s="44"/>
      <c r="B252" s="44"/>
      <c r="C252" s="44"/>
      <c r="D252" s="44"/>
      <c r="E252" s="70"/>
      <c r="F252" s="21"/>
    </row>
    <row r="253" spans="1:6" ht="12.75" customHeight="1" x14ac:dyDescent="0.2">
      <c r="A253" s="44"/>
      <c r="B253" s="44"/>
      <c r="C253" s="44"/>
      <c r="D253" s="44"/>
      <c r="E253" s="70"/>
      <c r="F253" s="21"/>
    </row>
    <row r="254" spans="1:6" ht="12.75" customHeight="1" x14ac:dyDescent="0.2">
      <c r="A254" s="44"/>
      <c r="B254" s="44"/>
      <c r="C254" s="44"/>
      <c r="D254" s="44"/>
      <c r="E254" s="70"/>
      <c r="F254" s="21"/>
    </row>
    <row r="255" spans="1:6" ht="12.75" customHeight="1" x14ac:dyDescent="0.2">
      <c r="A255" s="44"/>
      <c r="B255" s="44"/>
      <c r="C255" s="44"/>
      <c r="D255" s="44"/>
      <c r="E255" s="70"/>
      <c r="F255" s="21"/>
    </row>
    <row r="256" spans="1:6" ht="12.75" customHeight="1" x14ac:dyDescent="0.2">
      <c r="A256" s="44"/>
      <c r="B256" s="44"/>
      <c r="C256" s="44"/>
      <c r="D256" s="44"/>
      <c r="E256" s="70"/>
      <c r="F256" s="21"/>
    </row>
    <row r="257" spans="1:6" ht="12.75" customHeight="1" x14ac:dyDescent="0.2">
      <c r="A257" s="44"/>
      <c r="B257" s="44"/>
      <c r="C257" s="44"/>
      <c r="D257" s="44"/>
      <c r="E257" s="70"/>
      <c r="F257" s="21"/>
    </row>
    <row r="258" spans="1:6" ht="12.75" customHeight="1" x14ac:dyDescent="0.2">
      <c r="A258" s="44"/>
      <c r="B258" s="44"/>
      <c r="C258" s="44"/>
      <c r="D258" s="44"/>
      <c r="E258" s="70"/>
      <c r="F258" s="21"/>
    </row>
    <row r="259" spans="1:6" ht="12.75" customHeight="1" x14ac:dyDescent="0.2">
      <c r="A259" s="44"/>
      <c r="B259" s="44"/>
      <c r="C259" s="44"/>
      <c r="D259" s="44"/>
      <c r="E259" s="70"/>
      <c r="F259" s="21"/>
    </row>
    <row r="260" spans="1:6" ht="12.75" customHeight="1" x14ac:dyDescent="0.2">
      <c r="A260" s="44"/>
      <c r="B260" s="44"/>
      <c r="C260" s="44"/>
      <c r="D260" s="44"/>
      <c r="E260" s="70"/>
      <c r="F260" s="21"/>
    </row>
    <row r="261" spans="1:6" ht="12.75" customHeight="1" x14ac:dyDescent="0.2">
      <c r="A261" s="44"/>
      <c r="B261" s="44"/>
      <c r="C261" s="44"/>
      <c r="D261" s="44"/>
      <c r="E261" s="70"/>
      <c r="F261" s="21"/>
    </row>
    <row r="262" spans="1:6" ht="12.75" customHeight="1" x14ac:dyDescent="0.2">
      <c r="A262" s="44"/>
      <c r="B262" s="44"/>
      <c r="C262" s="44"/>
      <c r="D262" s="44"/>
      <c r="E262" s="70"/>
      <c r="F262" s="21"/>
    </row>
    <row r="263" spans="1:6" ht="12.75" customHeight="1" x14ac:dyDescent="0.2">
      <c r="A263" s="44"/>
      <c r="B263" s="44"/>
      <c r="C263" s="44"/>
      <c r="D263" s="44"/>
      <c r="E263" s="70"/>
      <c r="F263" s="21"/>
    </row>
    <row r="264" spans="1:6" ht="12.75" customHeight="1" x14ac:dyDescent="0.2">
      <c r="A264" s="44"/>
      <c r="B264" s="44"/>
      <c r="C264" s="44"/>
      <c r="D264" s="44"/>
      <c r="E264" s="70"/>
      <c r="F264" s="21"/>
    </row>
    <row r="265" spans="1:6" ht="12.75" customHeight="1" x14ac:dyDescent="0.2">
      <c r="A265" s="44"/>
      <c r="B265" s="44"/>
      <c r="C265" s="44"/>
      <c r="D265" s="44"/>
      <c r="E265" s="70"/>
      <c r="F265" s="21"/>
    </row>
    <row r="266" spans="1:6" ht="12.75" customHeight="1" x14ac:dyDescent="0.2">
      <c r="A266" s="44"/>
      <c r="B266" s="44"/>
      <c r="C266" s="44"/>
      <c r="D266" s="44"/>
      <c r="E266" s="70"/>
      <c r="F266" s="21"/>
    </row>
    <row r="267" spans="1:6" ht="12.75" customHeight="1" x14ac:dyDescent="0.2">
      <c r="A267" s="44"/>
      <c r="B267" s="44"/>
      <c r="C267" s="44"/>
      <c r="D267" s="44"/>
      <c r="E267" s="70"/>
      <c r="F267" s="21"/>
    </row>
    <row r="268" spans="1:6" ht="12.75" customHeight="1" x14ac:dyDescent="0.2">
      <c r="A268" s="44"/>
      <c r="B268" s="44"/>
      <c r="C268" s="44"/>
      <c r="D268" s="44"/>
      <c r="E268" s="70"/>
      <c r="F268" s="21"/>
    </row>
    <row r="269" spans="1:6" ht="12.75" customHeight="1" x14ac:dyDescent="0.2">
      <c r="A269" s="44"/>
      <c r="B269" s="44"/>
      <c r="C269" s="44"/>
      <c r="D269" s="44"/>
      <c r="E269" s="70"/>
      <c r="F269" s="21"/>
    </row>
    <row r="270" spans="1:6" ht="12.75" customHeight="1" x14ac:dyDescent="0.2">
      <c r="A270" s="44"/>
      <c r="B270" s="44"/>
      <c r="C270" s="44"/>
      <c r="D270" s="44"/>
      <c r="E270" s="70"/>
      <c r="F270" s="21"/>
    </row>
    <row r="271" spans="1:6" ht="12.75" customHeight="1" x14ac:dyDescent="0.2">
      <c r="A271" s="44"/>
      <c r="B271" s="44"/>
      <c r="C271" s="44"/>
      <c r="D271" s="44"/>
      <c r="E271" s="70"/>
      <c r="F271" s="21"/>
    </row>
    <row r="272" spans="1:6" ht="12.75" customHeight="1" x14ac:dyDescent="0.2">
      <c r="A272" s="44"/>
      <c r="B272" s="44"/>
      <c r="C272" s="44"/>
      <c r="D272" s="44"/>
      <c r="E272" s="70"/>
      <c r="F272" s="21"/>
    </row>
    <row r="273" spans="1:6" ht="12.75" customHeight="1" x14ac:dyDescent="0.2">
      <c r="A273" s="44"/>
      <c r="B273" s="44"/>
      <c r="C273" s="44"/>
      <c r="D273" s="44"/>
      <c r="E273" s="70"/>
      <c r="F273" s="21"/>
    </row>
    <row r="274" spans="1:6" ht="12.75" customHeight="1" x14ac:dyDescent="0.2">
      <c r="A274" s="44"/>
      <c r="B274" s="44"/>
      <c r="C274" s="44"/>
      <c r="D274" s="44"/>
      <c r="E274" s="70"/>
      <c r="F274" s="21"/>
    </row>
    <row r="275" spans="1:6" ht="12.75" customHeight="1" x14ac:dyDescent="0.2">
      <c r="A275" s="44"/>
      <c r="B275" s="44"/>
      <c r="C275" s="44"/>
      <c r="D275" s="44"/>
      <c r="E275" s="70"/>
      <c r="F275" s="21"/>
    </row>
    <row r="276" spans="1:6" ht="12.75" customHeight="1" x14ac:dyDescent="0.2">
      <c r="A276" s="44"/>
      <c r="B276" s="44"/>
      <c r="C276" s="44"/>
      <c r="D276" s="44"/>
      <c r="E276" s="70"/>
      <c r="F276" s="21"/>
    </row>
    <row r="277" spans="1:6" ht="12.75" customHeight="1" x14ac:dyDescent="0.2">
      <c r="A277" s="44"/>
      <c r="B277" s="44"/>
      <c r="C277" s="44"/>
      <c r="D277" s="44"/>
      <c r="E277" s="70"/>
      <c r="F277" s="21"/>
    </row>
    <row r="278" spans="1:6" ht="12.75" customHeight="1" x14ac:dyDescent="0.2">
      <c r="A278" s="44"/>
      <c r="B278" s="44"/>
      <c r="C278" s="44"/>
      <c r="D278" s="44"/>
      <c r="E278" s="70"/>
      <c r="F278" s="21"/>
    </row>
    <row r="279" spans="1:6" ht="12.75" customHeight="1" x14ac:dyDescent="0.2">
      <c r="A279" s="44"/>
      <c r="B279" s="44"/>
      <c r="C279" s="44"/>
      <c r="D279" s="44"/>
      <c r="E279" s="70"/>
      <c r="F279" s="21"/>
    </row>
    <row r="280" spans="1:6" ht="12.75" customHeight="1" x14ac:dyDescent="0.2">
      <c r="A280" s="44"/>
      <c r="B280" s="44"/>
      <c r="C280" s="44"/>
      <c r="D280" s="44"/>
      <c r="E280" s="70"/>
      <c r="F280" s="21"/>
    </row>
    <row r="281" spans="1:6" ht="12.75" customHeight="1" x14ac:dyDescent="0.2">
      <c r="A281" s="44"/>
      <c r="B281" s="44"/>
      <c r="C281" s="44"/>
      <c r="D281" s="44"/>
      <c r="E281" s="70"/>
      <c r="F281" s="21"/>
    </row>
    <row r="282" spans="1:6" ht="12.75" customHeight="1" x14ac:dyDescent="0.2">
      <c r="A282" s="44"/>
      <c r="B282" s="44"/>
      <c r="C282" s="44"/>
      <c r="D282" s="44"/>
      <c r="E282" s="70"/>
      <c r="F282" s="21"/>
    </row>
    <row r="283" spans="1:6" ht="12.75" customHeight="1" x14ac:dyDescent="0.2">
      <c r="A283" s="44"/>
      <c r="B283" s="44"/>
      <c r="C283" s="44"/>
      <c r="D283" s="44"/>
      <c r="E283" s="70"/>
      <c r="F283" s="21"/>
    </row>
    <row r="284" spans="1:6" ht="12.75" customHeight="1" x14ac:dyDescent="0.2">
      <c r="A284" s="44"/>
      <c r="B284" s="44"/>
      <c r="C284" s="44"/>
      <c r="D284" s="44"/>
      <c r="E284" s="70"/>
      <c r="F284" s="21"/>
    </row>
    <row r="285" spans="1:6" ht="12.75" customHeight="1" x14ac:dyDescent="0.2">
      <c r="A285" s="44"/>
      <c r="B285" s="44"/>
      <c r="C285" s="44"/>
      <c r="D285" s="44"/>
      <c r="E285" s="70"/>
      <c r="F285" s="21"/>
    </row>
    <row r="286" spans="1:6" ht="12.75" customHeight="1" x14ac:dyDescent="0.2">
      <c r="A286" s="44"/>
      <c r="B286" s="44"/>
      <c r="C286" s="44"/>
      <c r="D286" s="44"/>
      <c r="E286" s="70"/>
      <c r="F286" s="21"/>
    </row>
    <row r="287" spans="1:6" ht="12.75" customHeight="1" x14ac:dyDescent="0.2">
      <c r="A287" s="44"/>
      <c r="B287" s="44"/>
      <c r="C287" s="44"/>
      <c r="D287" s="44"/>
      <c r="E287" s="70"/>
      <c r="F287" s="21"/>
    </row>
    <row r="288" spans="1:6" ht="12.75" customHeight="1" x14ac:dyDescent="0.2">
      <c r="A288" s="44"/>
      <c r="B288" s="44"/>
      <c r="C288" s="44"/>
      <c r="D288" s="44"/>
      <c r="E288" s="70"/>
      <c r="F288" s="21"/>
    </row>
    <row r="289" spans="1:6" ht="12.75" customHeight="1" x14ac:dyDescent="0.2">
      <c r="A289" s="44"/>
      <c r="B289" s="44"/>
      <c r="C289" s="44"/>
      <c r="D289" s="44"/>
      <c r="E289" s="70"/>
      <c r="F289" s="21"/>
    </row>
    <row r="290" spans="1:6" ht="12.75" customHeight="1" x14ac:dyDescent="0.2">
      <c r="A290" s="44"/>
      <c r="B290" s="44"/>
      <c r="C290" s="44"/>
      <c r="D290" s="44"/>
      <c r="E290" s="70"/>
      <c r="F290" s="21"/>
    </row>
    <row r="291" spans="1:6" ht="12.75" customHeight="1" x14ac:dyDescent="0.2">
      <c r="A291" s="44"/>
      <c r="B291" s="44"/>
      <c r="C291" s="44"/>
      <c r="D291" s="44"/>
      <c r="E291" s="70"/>
      <c r="F291" s="21"/>
    </row>
    <row r="292" spans="1:6" ht="12.75" customHeight="1" x14ac:dyDescent="0.2">
      <c r="A292" s="44"/>
      <c r="B292" s="44"/>
      <c r="C292" s="44"/>
      <c r="D292" s="44"/>
      <c r="E292" s="70"/>
      <c r="F292" s="21"/>
    </row>
    <row r="293" spans="1:6" ht="12.75" customHeight="1" x14ac:dyDescent="0.2">
      <c r="A293" s="44"/>
      <c r="B293" s="44"/>
      <c r="C293" s="44"/>
      <c r="D293" s="44"/>
      <c r="E293" s="70"/>
      <c r="F293" s="21"/>
    </row>
    <row r="294" spans="1:6" ht="12.75" customHeight="1" x14ac:dyDescent="0.2">
      <c r="A294" s="44"/>
      <c r="B294" s="44"/>
      <c r="C294" s="44"/>
      <c r="D294" s="44"/>
      <c r="E294" s="70"/>
      <c r="F294" s="21"/>
    </row>
    <row r="295" spans="1:6" ht="12.75" customHeight="1" x14ac:dyDescent="0.2">
      <c r="A295" s="44"/>
      <c r="B295" s="44"/>
      <c r="C295" s="44"/>
      <c r="D295" s="44"/>
      <c r="E295" s="70"/>
      <c r="F295" s="21"/>
    </row>
    <row r="296" spans="1:6" ht="12.75" customHeight="1" x14ac:dyDescent="0.2">
      <c r="A296" s="44"/>
      <c r="B296" s="44"/>
      <c r="C296" s="44"/>
      <c r="D296" s="44"/>
      <c r="E296" s="70"/>
      <c r="F296" s="21"/>
    </row>
    <row r="297" spans="1:6" ht="12.75" customHeight="1" x14ac:dyDescent="0.2">
      <c r="A297" s="44"/>
      <c r="B297" s="44"/>
      <c r="C297" s="44"/>
      <c r="D297" s="44"/>
      <c r="E297" s="70"/>
      <c r="F297" s="21"/>
    </row>
    <row r="298" spans="1:6" ht="12.75" customHeight="1" x14ac:dyDescent="0.2">
      <c r="A298" s="44"/>
      <c r="B298" s="44"/>
      <c r="C298" s="44"/>
      <c r="D298" s="44"/>
      <c r="E298" s="70"/>
      <c r="F298" s="21"/>
    </row>
    <row r="299" spans="1:6" ht="12.75" customHeight="1" x14ac:dyDescent="0.2">
      <c r="A299" s="44"/>
      <c r="B299" s="44"/>
      <c r="C299" s="44"/>
      <c r="D299" s="44"/>
      <c r="E299" s="70"/>
      <c r="F299" s="21"/>
    </row>
    <row r="300" spans="1:6" ht="12.75" customHeight="1" x14ac:dyDescent="0.2">
      <c r="A300" s="44"/>
      <c r="B300" s="44"/>
      <c r="C300" s="44"/>
      <c r="D300" s="44"/>
      <c r="E300" s="70"/>
      <c r="F300" s="21"/>
    </row>
    <row r="301" spans="1:6" ht="12.75" customHeight="1" x14ac:dyDescent="0.2">
      <c r="A301" s="44"/>
      <c r="B301" s="44"/>
      <c r="C301" s="44"/>
      <c r="D301" s="44"/>
      <c r="E301" s="70"/>
      <c r="F301" s="21"/>
    </row>
    <row r="302" spans="1:6" ht="12.75" customHeight="1" x14ac:dyDescent="0.2">
      <c r="A302" s="44"/>
      <c r="B302" s="44"/>
      <c r="C302" s="44"/>
      <c r="D302" s="44"/>
      <c r="E302" s="70"/>
      <c r="F302" s="21"/>
    </row>
    <row r="303" spans="1:6" ht="12.75" customHeight="1" x14ac:dyDescent="0.2">
      <c r="A303" s="44"/>
      <c r="B303" s="44"/>
      <c r="C303" s="44"/>
      <c r="D303" s="44"/>
      <c r="E303" s="70"/>
      <c r="F303" s="21"/>
    </row>
    <row r="304" spans="1:6" ht="12.75" customHeight="1" x14ac:dyDescent="0.2">
      <c r="A304" s="44"/>
      <c r="B304" s="44"/>
      <c r="C304" s="44"/>
      <c r="D304" s="44"/>
      <c r="E304" s="70"/>
      <c r="F304" s="21"/>
    </row>
    <row r="305" spans="1:6" ht="12.75" customHeight="1" x14ac:dyDescent="0.2">
      <c r="A305" s="44"/>
      <c r="B305" s="44"/>
      <c r="C305" s="44"/>
      <c r="D305" s="44"/>
      <c r="E305" s="70"/>
      <c r="F305" s="21"/>
    </row>
    <row r="306" spans="1:6" ht="12.75" customHeight="1" x14ac:dyDescent="0.2">
      <c r="A306" s="44"/>
      <c r="B306" s="44"/>
      <c r="C306" s="44"/>
      <c r="D306" s="44"/>
      <c r="E306" s="70"/>
      <c r="F306" s="21"/>
    </row>
    <row r="307" spans="1:6" ht="12.75" customHeight="1" x14ac:dyDescent="0.2">
      <c r="A307" s="44"/>
      <c r="B307" s="44"/>
      <c r="C307" s="44"/>
      <c r="D307" s="44"/>
      <c r="E307" s="70"/>
      <c r="F307" s="21"/>
    </row>
    <row r="308" spans="1:6" ht="12.75" customHeight="1" x14ac:dyDescent="0.2">
      <c r="A308" s="44"/>
      <c r="B308" s="44"/>
      <c r="C308" s="44"/>
      <c r="D308" s="44"/>
      <c r="E308" s="70"/>
      <c r="F308" s="21"/>
    </row>
    <row r="309" spans="1:6" ht="12.75" customHeight="1" x14ac:dyDescent="0.2">
      <c r="A309" s="44"/>
      <c r="B309" s="44"/>
      <c r="C309" s="44"/>
      <c r="D309" s="44"/>
      <c r="E309" s="70"/>
      <c r="F309" s="21"/>
    </row>
    <row r="310" spans="1:6" ht="12.75" customHeight="1" x14ac:dyDescent="0.2">
      <c r="A310" s="44"/>
      <c r="B310" s="44"/>
      <c r="C310" s="44"/>
      <c r="D310" s="44"/>
      <c r="E310" s="70"/>
      <c r="F310" s="21"/>
    </row>
    <row r="311" spans="1:6" ht="12.75" customHeight="1" x14ac:dyDescent="0.2">
      <c r="A311" s="44"/>
      <c r="B311" s="44"/>
      <c r="C311" s="44"/>
      <c r="D311" s="44"/>
      <c r="E311" s="70"/>
      <c r="F311" s="21"/>
    </row>
    <row r="312" spans="1:6" ht="12.75" customHeight="1" x14ac:dyDescent="0.2">
      <c r="A312" s="44"/>
      <c r="B312" s="44"/>
      <c r="C312" s="44"/>
      <c r="D312" s="44"/>
      <c r="E312" s="70"/>
      <c r="F312" s="21"/>
    </row>
    <row r="313" spans="1:6" ht="12.75" customHeight="1" x14ac:dyDescent="0.2">
      <c r="A313" s="44"/>
      <c r="B313" s="44"/>
      <c r="C313" s="44"/>
      <c r="D313" s="44"/>
      <c r="E313" s="70"/>
      <c r="F313" s="21"/>
    </row>
    <row r="314" spans="1:6" ht="12.75" customHeight="1" x14ac:dyDescent="0.2">
      <c r="A314" s="44"/>
      <c r="B314" s="44"/>
      <c r="C314" s="44"/>
      <c r="D314" s="44"/>
      <c r="E314" s="70"/>
      <c r="F314" s="21"/>
    </row>
    <row r="315" spans="1:6" ht="12.75" customHeight="1" x14ac:dyDescent="0.2">
      <c r="A315" s="44"/>
      <c r="B315" s="44"/>
      <c r="C315" s="44"/>
      <c r="D315" s="44"/>
      <c r="E315" s="70"/>
      <c r="F315" s="21"/>
    </row>
    <row r="316" spans="1:6" ht="12.75" customHeight="1" x14ac:dyDescent="0.2">
      <c r="A316" s="44"/>
      <c r="B316" s="44"/>
      <c r="C316" s="44"/>
      <c r="D316" s="44"/>
      <c r="E316" s="70"/>
      <c r="F316" s="21"/>
    </row>
    <row r="317" spans="1:6" ht="12.75" customHeight="1" x14ac:dyDescent="0.2">
      <c r="A317" s="44"/>
      <c r="B317" s="44"/>
      <c r="C317" s="44"/>
      <c r="D317" s="44"/>
      <c r="E317" s="70"/>
      <c r="F317" s="21"/>
    </row>
    <row r="318" spans="1:6" ht="12.75" customHeight="1" x14ac:dyDescent="0.2">
      <c r="A318" s="44"/>
      <c r="B318" s="44"/>
      <c r="C318" s="44"/>
      <c r="D318" s="44"/>
      <c r="E318" s="70"/>
      <c r="F318" s="21"/>
    </row>
    <row r="319" spans="1:6" ht="12.75" customHeight="1" x14ac:dyDescent="0.2">
      <c r="A319" s="44"/>
      <c r="B319" s="44"/>
      <c r="C319" s="44"/>
      <c r="D319" s="44"/>
      <c r="E319" s="70"/>
      <c r="F319" s="21"/>
    </row>
    <row r="320" spans="1:6" ht="12.75" customHeight="1" x14ac:dyDescent="0.2">
      <c r="A320" s="44"/>
      <c r="B320" s="44"/>
      <c r="C320" s="44"/>
      <c r="D320" s="44"/>
      <c r="E320" s="70"/>
      <c r="F320" s="21"/>
    </row>
    <row r="321" spans="1:6" ht="12.75" customHeight="1" x14ac:dyDescent="0.2">
      <c r="A321" s="44"/>
      <c r="B321" s="44"/>
      <c r="C321" s="44"/>
      <c r="D321" s="44"/>
      <c r="E321" s="70"/>
      <c r="F321" s="21"/>
    </row>
    <row r="322" spans="1:6" ht="12.75" customHeight="1" x14ac:dyDescent="0.2">
      <c r="A322" s="44"/>
      <c r="B322" s="44"/>
      <c r="C322" s="44"/>
      <c r="D322" s="44"/>
      <c r="E322" s="70"/>
      <c r="F322" s="21"/>
    </row>
    <row r="323" spans="1:6" ht="12.75" customHeight="1" x14ac:dyDescent="0.2">
      <c r="A323" s="44"/>
      <c r="B323" s="44"/>
      <c r="C323" s="44"/>
      <c r="D323" s="44"/>
      <c r="E323" s="70"/>
      <c r="F323" s="21"/>
    </row>
    <row r="324" spans="1:6" ht="12.75" customHeight="1" x14ac:dyDescent="0.2">
      <c r="A324" s="44"/>
      <c r="B324" s="44"/>
      <c r="C324" s="44"/>
      <c r="D324" s="44"/>
      <c r="E324" s="70"/>
      <c r="F324" s="21"/>
    </row>
    <row r="325" spans="1:6" ht="12.75" customHeight="1" x14ac:dyDescent="0.2">
      <c r="A325" s="44"/>
      <c r="B325" s="44"/>
      <c r="C325" s="44"/>
      <c r="D325" s="44"/>
      <c r="E325" s="70"/>
      <c r="F325" s="21"/>
    </row>
    <row r="326" spans="1:6" ht="12.75" customHeight="1" x14ac:dyDescent="0.2">
      <c r="A326" s="44"/>
      <c r="B326" s="44"/>
      <c r="C326" s="44"/>
      <c r="D326" s="44"/>
      <c r="E326" s="70"/>
      <c r="F326" s="21"/>
    </row>
    <row r="327" spans="1:6" ht="12.75" customHeight="1" x14ac:dyDescent="0.2">
      <c r="A327" s="44"/>
      <c r="B327" s="44"/>
      <c r="C327" s="44"/>
      <c r="D327" s="44"/>
      <c r="E327" s="70"/>
      <c r="F327" s="21"/>
    </row>
    <row r="328" spans="1:6" ht="12.75" customHeight="1" x14ac:dyDescent="0.2">
      <c r="A328" s="44"/>
      <c r="B328" s="44"/>
      <c r="C328" s="44"/>
      <c r="D328" s="44"/>
      <c r="E328" s="70"/>
      <c r="F328" s="21"/>
    </row>
    <row r="329" spans="1:6" ht="12.75" customHeight="1" x14ac:dyDescent="0.2">
      <c r="A329" s="44"/>
      <c r="B329" s="44"/>
      <c r="C329" s="44"/>
      <c r="D329" s="44"/>
      <c r="E329" s="70"/>
      <c r="F329" s="21"/>
    </row>
    <row r="330" spans="1:6" ht="12.75" customHeight="1" x14ac:dyDescent="0.2">
      <c r="A330" s="44"/>
      <c r="B330" s="44"/>
      <c r="C330" s="44"/>
      <c r="D330" s="44"/>
      <c r="E330" s="70"/>
      <c r="F330" s="21"/>
    </row>
    <row r="331" spans="1:6" ht="12.75" customHeight="1" x14ac:dyDescent="0.2">
      <c r="A331" s="44"/>
      <c r="B331" s="44"/>
      <c r="C331" s="44"/>
      <c r="D331" s="44"/>
      <c r="E331" s="70"/>
      <c r="F331" s="21"/>
    </row>
    <row r="332" spans="1:6" ht="12.75" customHeight="1" x14ac:dyDescent="0.2">
      <c r="A332" s="44"/>
      <c r="B332" s="44"/>
      <c r="C332" s="44"/>
      <c r="D332" s="44"/>
      <c r="E332" s="70"/>
      <c r="F332" s="21"/>
    </row>
    <row r="333" spans="1:6" ht="12.75" customHeight="1" x14ac:dyDescent="0.2">
      <c r="A333" s="44"/>
      <c r="B333" s="44"/>
      <c r="C333" s="44"/>
      <c r="D333" s="44"/>
      <c r="E333" s="70"/>
      <c r="F333" s="21"/>
    </row>
    <row r="334" spans="1:6" ht="12.75" customHeight="1" x14ac:dyDescent="0.2">
      <c r="A334" s="44"/>
      <c r="B334" s="44"/>
      <c r="C334" s="44"/>
      <c r="D334" s="44"/>
      <c r="E334" s="70"/>
      <c r="F334" s="21"/>
    </row>
    <row r="335" spans="1:6" ht="12.75" customHeight="1" x14ac:dyDescent="0.2">
      <c r="A335" s="44"/>
      <c r="B335" s="44"/>
      <c r="C335" s="44"/>
      <c r="D335" s="44"/>
      <c r="E335" s="70"/>
      <c r="F335" s="21"/>
    </row>
    <row r="336" spans="1:6" ht="12.75" customHeight="1" x14ac:dyDescent="0.2">
      <c r="A336" s="44"/>
      <c r="B336" s="44"/>
      <c r="C336" s="44"/>
      <c r="D336" s="44"/>
      <c r="E336" s="70"/>
      <c r="F336" s="21"/>
    </row>
    <row r="337" spans="1:6" ht="12.75" customHeight="1" x14ac:dyDescent="0.2">
      <c r="A337" s="44"/>
      <c r="B337" s="44"/>
      <c r="C337" s="44"/>
      <c r="D337" s="44"/>
      <c r="E337" s="70"/>
      <c r="F337" s="21"/>
    </row>
    <row r="338" spans="1:6" ht="12.75" customHeight="1" x14ac:dyDescent="0.2">
      <c r="A338" s="44"/>
      <c r="B338" s="44"/>
      <c r="C338" s="44"/>
      <c r="D338" s="44"/>
      <c r="E338" s="70"/>
      <c r="F338" s="21"/>
    </row>
    <row r="339" spans="1:6" ht="12.75" customHeight="1" x14ac:dyDescent="0.2">
      <c r="A339" s="44"/>
      <c r="B339" s="44"/>
      <c r="C339" s="44"/>
      <c r="D339" s="44"/>
      <c r="E339" s="70"/>
      <c r="F339" s="21"/>
    </row>
    <row r="340" spans="1:6" ht="12.75" customHeight="1" x14ac:dyDescent="0.2">
      <c r="A340" s="44"/>
      <c r="B340" s="44"/>
      <c r="C340" s="44"/>
      <c r="D340" s="44"/>
      <c r="E340" s="70"/>
      <c r="F340" s="21"/>
    </row>
    <row r="341" spans="1:6" ht="12.75" customHeight="1" x14ac:dyDescent="0.2">
      <c r="A341" s="44"/>
      <c r="B341" s="44"/>
      <c r="C341" s="44"/>
      <c r="D341" s="44"/>
      <c r="E341" s="70"/>
      <c r="F341" s="21"/>
    </row>
    <row r="342" spans="1:6" ht="12.75" customHeight="1" x14ac:dyDescent="0.2">
      <c r="A342" s="44"/>
      <c r="B342" s="44"/>
      <c r="C342" s="44"/>
      <c r="D342" s="44"/>
      <c r="E342" s="70"/>
      <c r="F342" s="21"/>
    </row>
    <row r="343" spans="1:6" ht="12.75" customHeight="1" x14ac:dyDescent="0.2">
      <c r="A343" s="44"/>
      <c r="B343" s="44"/>
      <c r="C343" s="44"/>
      <c r="D343" s="44"/>
      <c r="E343" s="70"/>
      <c r="F343" s="21"/>
    </row>
    <row r="344" spans="1:6" ht="12.75" customHeight="1" x14ac:dyDescent="0.2">
      <c r="A344" s="44"/>
      <c r="B344" s="44"/>
      <c r="C344" s="44"/>
      <c r="D344" s="44"/>
      <c r="E344" s="70"/>
      <c r="F344" s="21"/>
    </row>
    <row r="345" spans="1:6" ht="12.75" customHeight="1" x14ac:dyDescent="0.2">
      <c r="A345" s="44"/>
      <c r="B345" s="44"/>
      <c r="C345" s="44"/>
      <c r="D345" s="44"/>
      <c r="E345" s="70"/>
      <c r="F345" s="21"/>
    </row>
    <row r="346" spans="1:6" ht="12.75" customHeight="1" x14ac:dyDescent="0.2">
      <c r="A346" s="44"/>
      <c r="B346" s="44"/>
      <c r="C346" s="44"/>
      <c r="D346" s="44"/>
      <c r="E346" s="70"/>
      <c r="F346" s="21"/>
    </row>
    <row r="347" spans="1:6" ht="12.75" customHeight="1" x14ac:dyDescent="0.2">
      <c r="A347" s="44"/>
      <c r="B347" s="44"/>
      <c r="C347" s="44"/>
      <c r="D347" s="44"/>
      <c r="E347" s="70"/>
      <c r="F347" s="21"/>
    </row>
    <row r="348" spans="1:6" ht="12.75" customHeight="1" x14ac:dyDescent="0.2">
      <c r="A348" s="44"/>
      <c r="B348" s="44"/>
      <c r="C348" s="44"/>
      <c r="D348" s="44"/>
      <c r="E348" s="70"/>
      <c r="F348" s="21"/>
    </row>
    <row r="349" spans="1:6" ht="12.75" customHeight="1" x14ac:dyDescent="0.2">
      <c r="A349" s="44"/>
      <c r="B349" s="44"/>
      <c r="C349" s="44"/>
      <c r="D349" s="44"/>
      <c r="E349" s="70"/>
      <c r="F349" s="21"/>
    </row>
    <row r="350" spans="1:6" ht="12.75" customHeight="1" x14ac:dyDescent="0.2">
      <c r="A350" s="44"/>
      <c r="B350" s="44"/>
      <c r="C350" s="44"/>
      <c r="D350" s="44"/>
      <c r="E350" s="70"/>
      <c r="F350" s="21"/>
    </row>
    <row r="351" spans="1:6" ht="12.75" customHeight="1" x14ac:dyDescent="0.2">
      <c r="A351" s="44"/>
      <c r="B351" s="44"/>
      <c r="C351" s="44"/>
      <c r="D351" s="44"/>
      <c r="E351" s="70"/>
      <c r="F351" s="21"/>
    </row>
    <row r="352" spans="1:6" ht="12.75" customHeight="1" x14ac:dyDescent="0.2">
      <c r="A352" s="44"/>
      <c r="B352" s="44"/>
      <c r="C352" s="44"/>
      <c r="D352" s="44"/>
      <c r="E352" s="70"/>
      <c r="F352" s="21"/>
    </row>
    <row r="353" spans="1:6" ht="12.75" customHeight="1" x14ac:dyDescent="0.2">
      <c r="A353" s="44"/>
      <c r="B353" s="44"/>
      <c r="C353" s="44"/>
      <c r="D353" s="44"/>
      <c r="E353" s="70"/>
      <c r="F353" s="21"/>
    </row>
    <row r="354" spans="1:6" ht="12.75" customHeight="1" x14ac:dyDescent="0.2">
      <c r="A354" s="44"/>
      <c r="B354" s="44"/>
      <c r="C354" s="44"/>
      <c r="D354" s="44"/>
      <c r="E354" s="70"/>
      <c r="F354" s="21"/>
    </row>
    <row r="355" spans="1:6" ht="12.75" customHeight="1" x14ac:dyDescent="0.2">
      <c r="A355" s="44"/>
      <c r="B355" s="44"/>
      <c r="C355" s="44"/>
      <c r="D355" s="44"/>
      <c r="E355" s="70"/>
      <c r="F355" s="21"/>
    </row>
    <row r="356" spans="1:6" ht="12.75" customHeight="1" x14ac:dyDescent="0.2">
      <c r="A356" s="44"/>
      <c r="B356" s="44"/>
      <c r="C356" s="44"/>
      <c r="D356" s="44"/>
      <c r="E356" s="70"/>
      <c r="F356" s="21"/>
    </row>
    <row r="357" spans="1:6" ht="12.75" customHeight="1" x14ac:dyDescent="0.2">
      <c r="A357" s="44"/>
      <c r="B357" s="44"/>
      <c r="C357" s="44"/>
      <c r="D357" s="44"/>
      <c r="E357" s="70"/>
      <c r="F357" s="21"/>
    </row>
    <row r="358" spans="1:6" ht="12.75" customHeight="1" x14ac:dyDescent="0.2">
      <c r="A358" s="44"/>
      <c r="B358" s="44"/>
      <c r="C358" s="44"/>
      <c r="D358" s="44"/>
      <c r="E358" s="70"/>
      <c r="F358" s="21"/>
    </row>
    <row r="359" spans="1:6" ht="12.75" customHeight="1" x14ac:dyDescent="0.2">
      <c r="A359" s="44"/>
      <c r="B359" s="44"/>
      <c r="C359" s="44"/>
      <c r="D359" s="44"/>
      <c r="E359" s="70"/>
      <c r="F359" s="21"/>
    </row>
    <row r="360" spans="1:6" ht="12.75" customHeight="1" x14ac:dyDescent="0.2">
      <c r="A360" s="44"/>
      <c r="B360" s="44"/>
      <c r="C360" s="44"/>
      <c r="D360" s="44"/>
      <c r="E360" s="70"/>
      <c r="F360" s="21"/>
    </row>
    <row r="361" spans="1:6" ht="12.75" customHeight="1" x14ac:dyDescent="0.2">
      <c r="A361" s="44"/>
      <c r="B361" s="44"/>
      <c r="C361" s="44"/>
      <c r="D361" s="44"/>
      <c r="E361" s="70"/>
      <c r="F361" s="21"/>
    </row>
    <row r="362" spans="1:6" ht="12.75" customHeight="1" x14ac:dyDescent="0.2">
      <c r="A362" s="44"/>
      <c r="B362" s="44"/>
      <c r="C362" s="44"/>
      <c r="D362" s="44"/>
      <c r="E362" s="70"/>
      <c r="F362" s="21"/>
    </row>
    <row r="363" spans="1:6" ht="12.75" customHeight="1" x14ac:dyDescent="0.2">
      <c r="A363" s="44"/>
      <c r="B363" s="44"/>
      <c r="C363" s="44"/>
      <c r="D363" s="44"/>
      <c r="E363" s="70"/>
      <c r="F363" s="21"/>
    </row>
    <row r="364" spans="1:6" ht="12.75" customHeight="1" x14ac:dyDescent="0.2">
      <c r="A364" s="44"/>
      <c r="B364" s="44"/>
      <c r="C364" s="44"/>
      <c r="D364" s="44"/>
      <c r="E364" s="70"/>
      <c r="F364" s="21"/>
    </row>
    <row r="365" spans="1:6" ht="12.75" customHeight="1" x14ac:dyDescent="0.2">
      <c r="A365" s="44"/>
      <c r="B365" s="44"/>
      <c r="C365" s="44"/>
      <c r="D365" s="44"/>
      <c r="E365" s="70"/>
      <c r="F365" s="21"/>
    </row>
    <row r="366" spans="1:6" ht="12.75" customHeight="1" x14ac:dyDescent="0.2">
      <c r="A366" s="44"/>
      <c r="B366" s="44"/>
      <c r="C366" s="44"/>
      <c r="D366" s="44"/>
      <c r="E366" s="70"/>
      <c r="F366" s="21"/>
    </row>
    <row r="367" spans="1:6" ht="12.75" customHeight="1" x14ac:dyDescent="0.2">
      <c r="A367" s="44"/>
      <c r="B367" s="44"/>
      <c r="C367" s="44"/>
      <c r="D367" s="44"/>
      <c r="E367" s="70"/>
      <c r="F367" s="21"/>
    </row>
    <row r="368" spans="1:6" ht="12.75" customHeight="1" x14ac:dyDescent="0.2">
      <c r="A368" s="44"/>
      <c r="B368" s="44"/>
      <c r="C368" s="44"/>
      <c r="D368" s="44"/>
      <c r="E368" s="70"/>
      <c r="F368" s="21"/>
    </row>
    <row r="369" spans="1:6" ht="12.75" customHeight="1" x14ac:dyDescent="0.2">
      <c r="A369" s="44"/>
      <c r="B369" s="44"/>
      <c r="C369" s="44"/>
      <c r="D369" s="44"/>
      <c r="E369" s="70"/>
      <c r="F369" s="21"/>
    </row>
    <row r="370" spans="1:6" ht="12.75" customHeight="1" x14ac:dyDescent="0.2">
      <c r="A370" s="44"/>
      <c r="B370" s="44"/>
      <c r="C370" s="44"/>
      <c r="D370" s="44"/>
      <c r="E370" s="70"/>
      <c r="F370" s="21"/>
    </row>
    <row r="371" spans="1:6" ht="12.75" customHeight="1" x14ac:dyDescent="0.2">
      <c r="A371" s="44"/>
      <c r="B371" s="44"/>
      <c r="C371" s="44"/>
      <c r="D371" s="44"/>
      <c r="E371" s="70"/>
      <c r="F371" s="21"/>
    </row>
    <row r="372" spans="1:6" ht="12.75" customHeight="1" x14ac:dyDescent="0.2">
      <c r="A372" s="44"/>
      <c r="B372" s="44"/>
      <c r="C372" s="44"/>
      <c r="D372" s="44"/>
      <c r="E372" s="70"/>
      <c r="F372" s="21"/>
    </row>
    <row r="373" spans="1:6" ht="12.75" customHeight="1" x14ac:dyDescent="0.2">
      <c r="A373" s="44"/>
      <c r="B373" s="44"/>
      <c r="C373" s="44"/>
      <c r="D373" s="44"/>
      <c r="E373" s="70"/>
      <c r="F373" s="21"/>
    </row>
    <row r="374" spans="1:6" ht="12.75" customHeight="1" x14ac:dyDescent="0.2">
      <c r="A374" s="44"/>
      <c r="B374" s="44"/>
      <c r="C374" s="44"/>
      <c r="D374" s="44"/>
      <c r="E374" s="70"/>
      <c r="F374" s="21"/>
    </row>
    <row r="375" spans="1:6" ht="12.75" customHeight="1" x14ac:dyDescent="0.2">
      <c r="A375" s="44"/>
      <c r="B375" s="44"/>
      <c r="C375" s="44"/>
      <c r="D375" s="44"/>
      <c r="E375" s="70"/>
      <c r="F375" s="21"/>
    </row>
    <row r="376" spans="1:6" ht="12.75" customHeight="1" x14ac:dyDescent="0.2">
      <c r="A376" s="44"/>
      <c r="B376" s="44"/>
      <c r="C376" s="44"/>
      <c r="D376" s="44"/>
      <c r="E376" s="70"/>
      <c r="F376" s="21"/>
    </row>
    <row r="377" spans="1:6" ht="12.75" customHeight="1" x14ac:dyDescent="0.2">
      <c r="A377" s="44"/>
      <c r="B377" s="44"/>
      <c r="C377" s="44"/>
      <c r="D377" s="44"/>
      <c r="E377" s="70"/>
      <c r="F377" s="21"/>
    </row>
    <row r="378" spans="1:6" ht="12.75" customHeight="1" x14ac:dyDescent="0.2">
      <c r="A378" s="44"/>
      <c r="B378" s="44"/>
      <c r="C378" s="44"/>
      <c r="D378" s="44"/>
      <c r="E378" s="70"/>
      <c r="F378" s="21"/>
    </row>
    <row r="379" spans="1:6" ht="12.75" customHeight="1" x14ac:dyDescent="0.2">
      <c r="A379" s="44"/>
      <c r="B379" s="44"/>
      <c r="C379" s="44"/>
      <c r="D379" s="44"/>
      <c r="E379" s="70"/>
      <c r="F379" s="21"/>
    </row>
    <row r="380" spans="1:6" ht="12.75" customHeight="1" x14ac:dyDescent="0.2">
      <c r="A380" s="44"/>
      <c r="B380" s="44"/>
      <c r="C380" s="44"/>
      <c r="D380" s="44"/>
      <c r="E380" s="70"/>
      <c r="F380" s="21"/>
    </row>
    <row r="381" spans="1:6" ht="12.75" customHeight="1" x14ac:dyDescent="0.2">
      <c r="A381" s="44"/>
      <c r="B381" s="44"/>
      <c r="C381" s="44"/>
      <c r="D381" s="44"/>
      <c r="E381" s="70"/>
      <c r="F381" s="21"/>
    </row>
    <row r="382" spans="1:6" ht="12.75" customHeight="1" x14ac:dyDescent="0.2">
      <c r="A382" s="44"/>
      <c r="B382" s="44"/>
      <c r="C382" s="44"/>
      <c r="D382" s="44"/>
      <c r="E382" s="70"/>
      <c r="F382" s="21"/>
    </row>
    <row r="383" spans="1:6" ht="12.75" customHeight="1" x14ac:dyDescent="0.2">
      <c r="A383" s="44"/>
      <c r="B383" s="44"/>
      <c r="C383" s="44"/>
      <c r="D383" s="44"/>
      <c r="E383" s="70"/>
      <c r="F383" s="21"/>
    </row>
    <row r="384" spans="1:6" ht="12.75" customHeight="1" x14ac:dyDescent="0.2">
      <c r="A384" s="44"/>
      <c r="B384" s="44"/>
      <c r="C384" s="44"/>
      <c r="D384" s="44"/>
      <c r="E384" s="70"/>
      <c r="F384" s="21"/>
    </row>
    <row r="385" spans="1:6" ht="12.75" customHeight="1" x14ac:dyDescent="0.2">
      <c r="A385" s="44"/>
      <c r="B385" s="44"/>
      <c r="C385" s="44"/>
      <c r="D385" s="44"/>
      <c r="E385" s="70"/>
      <c r="F385" s="21"/>
    </row>
    <row r="386" spans="1:6" ht="12.75" customHeight="1" x14ac:dyDescent="0.2">
      <c r="A386" s="44"/>
      <c r="B386" s="44"/>
      <c r="C386" s="44"/>
      <c r="D386" s="44"/>
      <c r="E386" s="70"/>
      <c r="F386" s="21"/>
    </row>
    <row r="387" spans="1:6" ht="12.75" customHeight="1" x14ac:dyDescent="0.2">
      <c r="A387" s="44"/>
      <c r="B387" s="44"/>
      <c r="C387" s="44"/>
      <c r="D387" s="44"/>
      <c r="E387" s="70"/>
      <c r="F387" s="21"/>
    </row>
    <row r="388" spans="1:6" ht="12.75" customHeight="1" x14ac:dyDescent="0.2">
      <c r="A388" s="44"/>
      <c r="B388" s="44"/>
      <c r="C388" s="44"/>
      <c r="D388" s="44"/>
      <c r="E388" s="70"/>
      <c r="F388" s="21"/>
    </row>
    <row r="389" spans="1:6" ht="12.75" customHeight="1" x14ac:dyDescent="0.2">
      <c r="A389" s="44"/>
      <c r="B389" s="44"/>
      <c r="C389" s="44"/>
      <c r="D389" s="44"/>
      <c r="E389" s="70"/>
      <c r="F389" s="21"/>
    </row>
    <row r="390" spans="1:6" ht="12.75" customHeight="1" x14ac:dyDescent="0.2">
      <c r="A390" s="44"/>
      <c r="B390" s="44"/>
      <c r="C390" s="44"/>
      <c r="D390" s="44"/>
      <c r="E390" s="70"/>
      <c r="F390" s="21"/>
    </row>
    <row r="391" spans="1:6" ht="12.75" customHeight="1" x14ac:dyDescent="0.2">
      <c r="A391" s="44"/>
      <c r="B391" s="44"/>
      <c r="C391" s="44"/>
      <c r="D391" s="44"/>
      <c r="E391" s="70"/>
      <c r="F391" s="21"/>
    </row>
    <row r="392" spans="1:6" ht="12.75" customHeight="1" x14ac:dyDescent="0.2">
      <c r="A392" s="44"/>
      <c r="B392" s="44"/>
      <c r="C392" s="44"/>
      <c r="D392" s="44"/>
      <c r="E392" s="70"/>
      <c r="F392" s="21"/>
    </row>
    <row r="393" spans="1:6" ht="12.75" customHeight="1" x14ac:dyDescent="0.2">
      <c r="A393" s="44"/>
      <c r="B393" s="44"/>
      <c r="C393" s="44"/>
      <c r="D393" s="44"/>
      <c r="E393" s="70"/>
      <c r="F393" s="21"/>
    </row>
    <row r="394" spans="1:6" ht="12.75" customHeight="1" x14ac:dyDescent="0.2">
      <c r="A394" s="44"/>
      <c r="B394" s="44"/>
      <c r="C394" s="44"/>
      <c r="D394" s="44"/>
      <c r="E394" s="70"/>
      <c r="F394" s="21"/>
    </row>
    <row r="395" spans="1:6" ht="12.75" customHeight="1" x14ac:dyDescent="0.2">
      <c r="A395" s="44"/>
      <c r="B395" s="44"/>
      <c r="C395" s="44"/>
      <c r="D395" s="44"/>
      <c r="E395" s="70"/>
      <c r="F395" s="21"/>
    </row>
    <row r="396" spans="1:6" ht="12.75" customHeight="1" x14ac:dyDescent="0.2">
      <c r="A396" s="44"/>
      <c r="B396" s="44"/>
      <c r="C396" s="44"/>
      <c r="D396" s="44"/>
      <c r="E396" s="70"/>
      <c r="F396" s="21"/>
    </row>
    <row r="397" spans="1:6" ht="12.75" customHeight="1" x14ac:dyDescent="0.2">
      <c r="A397" s="44"/>
      <c r="B397" s="44"/>
      <c r="C397" s="44"/>
      <c r="D397" s="44"/>
      <c r="E397" s="70"/>
      <c r="F397" s="21"/>
    </row>
    <row r="398" spans="1:6" ht="12.75" customHeight="1" x14ac:dyDescent="0.2">
      <c r="A398" s="44"/>
      <c r="B398" s="44"/>
      <c r="C398" s="44"/>
      <c r="D398" s="44"/>
      <c r="E398" s="70"/>
      <c r="F398" s="21"/>
    </row>
    <row r="399" spans="1:6" ht="12.75" customHeight="1" x14ac:dyDescent="0.2">
      <c r="A399" s="44"/>
      <c r="B399" s="44"/>
      <c r="C399" s="44"/>
      <c r="D399" s="44"/>
      <c r="E399" s="70"/>
      <c r="F399" s="21"/>
    </row>
    <row r="400" spans="1:6" ht="12.75" customHeight="1" x14ac:dyDescent="0.2">
      <c r="A400" s="44"/>
      <c r="B400" s="44"/>
      <c r="C400" s="44"/>
      <c r="D400" s="44"/>
      <c r="E400" s="70"/>
      <c r="F400" s="21"/>
    </row>
    <row r="401" spans="1:6" ht="12.75" customHeight="1" x14ac:dyDescent="0.2">
      <c r="A401" s="44"/>
      <c r="B401" s="44"/>
      <c r="C401" s="44"/>
      <c r="D401" s="44"/>
      <c r="E401" s="70"/>
      <c r="F401" s="21"/>
    </row>
    <row r="402" spans="1:6" ht="12.75" customHeight="1" x14ac:dyDescent="0.2">
      <c r="A402" s="44"/>
      <c r="B402" s="44"/>
      <c r="C402" s="44"/>
      <c r="D402" s="44"/>
      <c r="E402" s="70"/>
      <c r="F402" s="21"/>
    </row>
    <row r="403" spans="1:6" ht="12.75" customHeight="1" x14ac:dyDescent="0.2">
      <c r="A403" s="44"/>
      <c r="B403" s="44"/>
      <c r="C403" s="44"/>
      <c r="D403" s="44"/>
      <c r="E403" s="70"/>
      <c r="F403" s="21"/>
    </row>
    <row r="404" spans="1:6" ht="12.75" customHeight="1" x14ac:dyDescent="0.2">
      <c r="A404" s="44"/>
      <c r="B404" s="44"/>
      <c r="C404" s="44"/>
      <c r="D404" s="44"/>
      <c r="E404" s="70"/>
      <c r="F404" s="21"/>
    </row>
    <row r="405" spans="1:6" ht="12.75" customHeight="1" x14ac:dyDescent="0.2">
      <c r="A405" s="44"/>
      <c r="B405" s="44"/>
      <c r="C405" s="44"/>
      <c r="D405" s="44"/>
      <c r="E405" s="70"/>
      <c r="F405" s="21"/>
    </row>
    <row r="406" spans="1:6" ht="12.75" customHeight="1" x14ac:dyDescent="0.2">
      <c r="A406" s="44"/>
      <c r="B406" s="44"/>
      <c r="C406" s="44"/>
      <c r="D406" s="44"/>
      <c r="E406" s="70"/>
      <c r="F406" s="21"/>
    </row>
    <row r="407" spans="1:6" ht="12.75" customHeight="1" x14ac:dyDescent="0.2">
      <c r="A407" s="44"/>
      <c r="B407" s="44"/>
      <c r="C407" s="44"/>
      <c r="D407" s="44"/>
      <c r="E407" s="70"/>
      <c r="F407" s="21"/>
    </row>
    <row r="408" spans="1:6" ht="12.75" customHeight="1" x14ac:dyDescent="0.2">
      <c r="A408" s="44"/>
      <c r="B408" s="44"/>
      <c r="C408" s="44"/>
      <c r="D408" s="44"/>
      <c r="E408" s="70"/>
      <c r="F408" s="21"/>
    </row>
    <row r="409" spans="1:6" ht="12.75" customHeight="1" x14ac:dyDescent="0.2">
      <c r="A409" s="44"/>
      <c r="B409" s="44"/>
      <c r="C409" s="44"/>
      <c r="D409" s="44"/>
      <c r="E409" s="70"/>
      <c r="F409" s="21"/>
    </row>
    <row r="410" spans="1:6" ht="12.75" customHeight="1" x14ac:dyDescent="0.2">
      <c r="A410" s="44"/>
      <c r="B410" s="44"/>
      <c r="C410" s="44"/>
      <c r="D410" s="44"/>
      <c r="E410" s="70"/>
      <c r="F410" s="21"/>
    </row>
    <row r="411" spans="1:6" ht="12.75" customHeight="1" x14ac:dyDescent="0.2">
      <c r="A411" s="44"/>
      <c r="B411" s="44"/>
      <c r="C411" s="44"/>
      <c r="D411" s="44"/>
      <c r="E411" s="70"/>
      <c r="F411" s="21"/>
    </row>
    <row r="412" spans="1:6" ht="12.75" customHeight="1" x14ac:dyDescent="0.2">
      <c r="A412" s="44"/>
      <c r="B412" s="44"/>
      <c r="C412" s="44"/>
      <c r="D412" s="44"/>
      <c r="E412" s="70"/>
      <c r="F412" s="21"/>
    </row>
    <row r="413" spans="1:6" ht="12.75" customHeight="1" x14ac:dyDescent="0.2">
      <c r="A413" s="44"/>
      <c r="B413" s="44"/>
      <c r="C413" s="44"/>
      <c r="D413" s="44"/>
      <c r="E413" s="70"/>
      <c r="F413" s="21"/>
    </row>
    <row r="414" spans="1:6" ht="12.75" customHeight="1" x14ac:dyDescent="0.2">
      <c r="A414" s="44"/>
      <c r="B414" s="44"/>
      <c r="C414" s="44"/>
      <c r="D414" s="44"/>
      <c r="E414" s="70"/>
      <c r="F414" s="21"/>
    </row>
    <row r="415" spans="1:6" ht="12.75" customHeight="1" x14ac:dyDescent="0.2">
      <c r="A415" s="44"/>
      <c r="B415" s="44"/>
      <c r="C415" s="44"/>
      <c r="D415" s="44"/>
      <c r="E415" s="70"/>
      <c r="F415" s="21"/>
    </row>
    <row r="416" spans="1:6" ht="12.75" customHeight="1" x14ac:dyDescent="0.2">
      <c r="A416" s="44"/>
      <c r="B416" s="44"/>
      <c r="C416" s="44"/>
      <c r="D416" s="44"/>
      <c r="E416" s="70"/>
      <c r="F416" s="21"/>
    </row>
    <row r="417" spans="1:6" ht="12.75" customHeight="1" x14ac:dyDescent="0.2">
      <c r="A417" s="44"/>
      <c r="B417" s="44"/>
      <c r="C417" s="44"/>
      <c r="D417" s="44"/>
      <c r="E417" s="70"/>
      <c r="F417" s="21"/>
    </row>
    <row r="418" spans="1:6" ht="12.75" customHeight="1" x14ac:dyDescent="0.2">
      <c r="A418" s="44"/>
      <c r="B418" s="44"/>
      <c r="C418" s="44"/>
      <c r="D418" s="44"/>
      <c r="E418" s="70"/>
      <c r="F418" s="21"/>
    </row>
    <row r="419" spans="1:6" ht="12.75" customHeight="1" x14ac:dyDescent="0.2">
      <c r="A419" s="44"/>
      <c r="B419" s="44"/>
      <c r="C419" s="44"/>
      <c r="D419" s="44"/>
      <c r="E419" s="70"/>
      <c r="F419" s="21"/>
    </row>
    <row r="420" spans="1:6" ht="12.75" customHeight="1" x14ac:dyDescent="0.2">
      <c r="A420" s="44"/>
      <c r="B420" s="44"/>
      <c r="C420" s="44"/>
      <c r="D420" s="44"/>
      <c r="E420" s="70"/>
      <c r="F420" s="21"/>
    </row>
    <row r="421" spans="1:6" ht="12.75" customHeight="1" x14ac:dyDescent="0.2">
      <c r="A421" s="44"/>
      <c r="B421" s="44"/>
      <c r="C421" s="44"/>
      <c r="D421" s="44"/>
      <c r="E421" s="70"/>
      <c r="F421" s="21"/>
    </row>
    <row r="422" spans="1:6" ht="12.75" customHeight="1" x14ac:dyDescent="0.2">
      <c r="A422" s="44"/>
      <c r="B422" s="44"/>
      <c r="C422" s="44"/>
      <c r="D422" s="44"/>
      <c r="E422" s="70"/>
      <c r="F422" s="21"/>
    </row>
    <row r="423" spans="1:6" ht="12.75" customHeight="1" x14ac:dyDescent="0.2">
      <c r="A423" s="44"/>
      <c r="B423" s="44"/>
      <c r="C423" s="44"/>
      <c r="D423" s="44"/>
      <c r="E423" s="70"/>
      <c r="F423" s="21"/>
    </row>
    <row r="424" spans="1:6" ht="12.75" customHeight="1" x14ac:dyDescent="0.2">
      <c r="A424" s="44"/>
      <c r="B424" s="44"/>
      <c r="C424" s="44"/>
      <c r="D424" s="44"/>
      <c r="E424" s="70"/>
      <c r="F424" s="21"/>
    </row>
    <row r="425" spans="1:6" ht="12.75" customHeight="1" x14ac:dyDescent="0.2">
      <c r="A425" s="44"/>
      <c r="B425" s="44"/>
      <c r="C425" s="44"/>
      <c r="D425" s="44"/>
      <c r="E425" s="70"/>
      <c r="F425" s="21"/>
    </row>
    <row r="426" spans="1:6" ht="12.75" customHeight="1" x14ac:dyDescent="0.2">
      <c r="A426" s="44"/>
      <c r="B426" s="44"/>
      <c r="C426" s="44"/>
      <c r="D426" s="44"/>
      <c r="E426" s="70"/>
      <c r="F426" s="21"/>
    </row>
    <row r="427" spans="1:6" ht="12.75" customHeight="1" x14ac:dyDescent="0.2">
      <c r="A427" s="44"/>
      <c r="B427" s="44"/>
      <c r="C427" s="44"/>
      <c r="D427" s="44"/>
      <c r="E427" s="70"/>
      <c r="F427" s="21"/>
    </row>
    <row r="428" spans="1:6" ht="12.75" customHeight="1" x14ac:dyDescent="0.2">
      <c r="A428" s="44"/>
      <c r="B428" s="44"/>
      <c r="C428" s="44"/>
      <c r="D428" s="44"/>
      <c r="E428" s="70"/>
      <c r="F428" s="21"/>
    </row>
    <row r="429" spans="1:6" ht="12.75" customHeight="1" x14ac:dyDescent="0.2">
      <c r="A429" s="44"/>
      <c r="B429" s="44"/>
      <c r="C429" s="44"/>
      <c r="D429" s="44"/>
      <c r="E429" s="70"/>
      <c r="F429" s="21"/>
    </row>
    <row r="430" spans="1:6" ht="12.75" customHeight="1" x14ac:dyDescent="0.2">
      <c r="A430" s="44"/>
      <c r="B430" s="44"/>
      <c r="C430" s="44"/>
      <c r="D430" s="44"/>
      <c r="E430" s="70"/>
      <c r="F430" s="21"/>
    </row>
    <row r="431" spans="1:6" ht="12.75" customHeight="1" x14ac:dyDescent="0.2">
      <c r="A431" s="44"/>
      <c r="B431" s="44"/>
      <c r="C431" s="44"/>
      <c r="D431" s="44"/>
      <c r="E431" s="70"/>
      <c r="F431" s="21"/>
    </row>
    <row r="432" spans="1:6" ht="12.75" customHeight="1" x14ac:dyDescent="0.2">
      <c r="A432" s="44"/>
      <c r="B432" s="44"/>
      <c r="C432" s="44"/>
      <c r="D432" s="44"/>
      <c r="E432" s="70"/>
      <c r="F432" s="21"/>
    </row>
    <row r="433" spans="1:6" ht="12.75" customHeight="1" x14ac:dyDescent="0.2">
      <c r="A433" s="44"/>
      <c r="B433" s="44"/>
      <c r="C433" s="44"/>
      <c r="D433" s="44"/>
      <c r="E433" s="70"/>
      <c r="F433" s="21"/>
    </row>
    <row r="434" spans="1:6" ht="12.75" customHeight="1" x14ac:dyDescent="0.2">
      <c r="A434" s="44"/>
      <c r="B434" s="44"/>
      <c r="C434" s="44"/>
      <c r="D434" s="44"/>
      <c r="E434" s="70"/>
      <c r="F434" s="21"/>
    </row>
    <row r="435" spans="1:6" ht="12.75" customHeight="1" x14ac:dyDescent="0.2">
      <c r="A435" s="44"/>
      <c r="B435" s="44"/>
      <c r="C435" s="44"/>
      <c r="D435" s="44"/>
      <c r="E435" s="70"/>
      <c r="F435" s="21"/>
    </row>
    <row r="436" spans="1:6" ht="12.75" customHeight="1" x14ac:dyDescent="0.2">
      <c r="A436" s="44"/>
      <c r="B436" s="44"/>
      <c r="C436" s="44"/>
      <c r="D436" s="44"/>
      <c r="E436" s="70"/>
      <c r="F436" s="21"/>
    </row>
    <row r="437" spans="1:6" ht="12.75" customHeight="1" x14ac:dyDescent="0.2">
      <c r="A437" s="44"/>
      <c r="B437" s="44"/>
      <c r="C437" s="44"/>
      <c r="D437" s="44"/>
      <c r="E437" s="70"/>
      <c r="F437" s="21"/>
    </row>
    <row r="438" spans="1:6" ht="12.75" customHeight="1" x14ac:dyDescent="0.2">
      <c r="A438" s="44"/>
      <c r="B438" s="44"/>
      <c r="C438" s="44"/>
      <c r="D438" s="44"/>
      <c r="E438" s="70"/>
      <c r="F438" s="21"/>
    </row>
    <row r="439" spans="1:6" ht="12.75" customHeight="1" x14ac:dyDescent="0.2">
      <c r="A439" s="44"/>
      <c r="B439" s="44"/>
      <c r="C439" s="44"/>
      <c r="D439" s="44"/>
      <c r="E439" s="70"/>
      <c r="F439" s="21"/>
    </row>
    <row r="440" spans="1:6" ht="12.75" customHeight="1" x14ac:dyDescent="0.2">
      <c r="A440" s="44"/>
      <c r="B440" s="44"/>
      <c r="C440" s="44"/>
      <c r="D440" s="44"/>
      <c r="E440" s="70"/>
      <c r="F440" s="21"/>
    </row>
    <row r="441" spans="1:6" ht="12.75" customHeight="1" x14ac:dyDescent="0.2">
      <c r="A441" s="44"/>
      <c r="B441" s="44"/>
      <c r="C441" s="44"/>
      <c r="D441" s="44"/>
      <c r="E441" s="70"/>
      <c r="F441" s="21"/>
    </row>
    <row r="442" spans="1:6" ht="12.75" customHeight="1" x14ac:dyDescent="0.2">
      <c r="A442" s="44"/>
      <c r="B442" s="44"/>
      <c r="C442" s="44"/>
      <c r="D442" s="44"/>
      <c r="E442" s="70"/>
      <c r="F442" s="21"/>
    </row>
    <row r="443" spans="1:6" ht="12.75" customHeight="1" x14ac:dyDescent="0.2">
      <c r="A443" s="44"/>
      <c r="B443" s="44"/>
      <c r="C443" s="44"/>
      <c r="D443" s="44"/>
      <c r="E443" s="70"/>
      <c r="F443" s="21"/>
    </row>
    <row r="444" spans="1:6" ht="12.75" customHeight="1" x14ac:dyDescent="0.2">
      <c r="A444" s="44"/>
      <c r="B444" s="44"/>
      <c r="C444" s="44"/>
      <c r="D444" s="44"/>
      <c r="E444" s="70"/>
      <c r="F444" s="21"/>
    </row>
    <row r="445" spans="1:6" ht="12.75" customHeight="1" x14ac:dyDescent="0.2">
      <c r="A445" s="44"/>
      <c r="B445" s="44"/>
      <c r="C445" s="44"/>
      <c r="D445" s="44"/>
      <c r="E445" s="70"/>
      <c r="F445" s="21"/>
    </row>
    <row r="446" spans="1:6" ht="12.75" customHeight="1" x14ac:dyDescent="0.2">
      <c r="A446" s="44"/>
      <c r="B446" s="44"/>
      <c r="C446" s="44"/>
      <c r="D446" s="44"/>
      <c r="E446" s="70"/>
      <c r="F446" s="21"/>
    </row>
    <row r="447" spans="1:6" ht="12.75" customHeight="1" x14ac:dyDescent="0.2">
      <c r="A447" s="44"/>
      <c r="B447" s="44"/>
      <c r="C447" s="44"/>
      <c r="D447" s="44"/>
      <c r="E447" s="70"/>
      <c r="F447" s="21"/>
    </row>
    <row r="448" spans="1:6" ht="12.75" customHeight="1" x14ac:dyDescent="0.2">
      <c r="A448" s="44"/>
      <c r="B448" s="44"/>
      <c r="C448" s="44"/>
      <c r="D448" s="44"/>
      <c r="E448" s="70"/>
      <c r="F448" s="21"/>
    </row>
    <row r="449" spans="1:6" ht="12.75" customHeight="1" x14ac:dyDescent="0.2">
      <c r="A449" s="44"/>
      <c r="B449" s="44"/>
      <c r="C449" s="44"/>
      <c r="D449" s="44"/>
      <c r="E449" s="70"/>
      <c r="F449" s="21"/>
    </row>
    <row r="450" spans="1:6" ht="12.75" customHeight="1" x14ac:dyDescent="0.2">
      <c r="A450" s="44"/>
      <c r="B450" s="44"/>
      <c r="C450" s="44"/>
      <c r="D450" s="44"/>
      <c r="E450" s="70"/>
      <c r="F450" s="21"/>
    </row>
    <row r="451" spans="1:6" ht="12.75" customHeight="1" x14ac:dyDescent="0.2">
      <c r="A451" s="44"/>
      <c r="B451" s="44"/>
      <c r="C451" s="44"/>
      <c r="D451" s="44"/>
      <c r="E451" s="70"/>
      <c r="F451" s="21"/>
    </row>
    <row r="452" spans="1:6" ht="12.75" customHeight="1" x14ac:dyDescent="0.2">
      <c r="A452" s="44"/>
      <c r="B452" s="44"/>
      <c r="C452" s="44"/>
      <c r="D452" s="44"/>
      <c r="E452" s="70"/>
      <c r="F452" s="21"/>
    </row>
    <row r="453" spans="1:6" ht="12.75" customHeight="1" x14ac:dyDescent="0.2">
      <c r="A453" s="44"/>
      <c r="B453" s="44"/>
      <c r="C453" s="44"/>
      <c r="D453" s="44"/>
      <c r="E453" s="70"/>
      <c r="F453" s="21"/>
    </row>
    <row r="454" spans="1:6" ht="12.75" customHeight="1" x14ac:dyDescent="0.2">
      <c r="A454" s="44"/>
      <c r="B454" s="44"/>
      <c r="C454" s="44"/>
      <c r="D454" s="44"/>
      <c r="E454" s="70"/>
      <c r="F454" s="21"/>
    </row>
    <row r="455" spans="1:6" ht="12.75" customHeight="1" x14ac:dyDescent="0.2">
      <c r="A455" s="44"/>
      <c r="B455" s="44"/>
      <c r="C455" s="44"/>
      <c r="D455" s="44"/>
      <c r="E455" s="70"/>
      <c r="F455" s="21"/>
    </row>
    <row r="456" spans="1:6" ht="12.75" customHeight="1" x14ac:dyDescent="0.2">
      <c r="A456" s="44"/>
      <c r="B456" s="44"/>
      <c r="C456" s="44"/>
      <c r="D456" s="44"/>
      <c r="E456" s="70"/>
      <c r="F456" s="21"/>
    </row>
    <row r="457" spans="1:6" ht="12.75" customHeight="1" x14ac:dyDescent="0.2">
      <c r="A457" s="44"/>
      <c r="B457" s="44"/>
      <c r="C457" s="44"/>
      <c r="D457" s="44"/>
      <c r="E457" s="70"/>
      <c r="F457" s="21"/>
    </row>
    <row r="458" spans="1:6" ht="12.75" customHeight="1" x14ac:dyDescent="0.2">
      <c r="A458" s="44"/>
      <c r="B458" s="44"/>
      <c r="C458" s="44"/>
      <c r="D458" s="44"/>
      <c r="E458" s="70"/>
      <c r="F458" s="21"/>
    </row>
    <row r="459" spans="1:6" ht="12.75" customHeight="1" x14ac:dyDescent="0.2">
      <c r="A459" s="44"/>
      <c r="B459" s="44"/>
      <c r="C459" s="44"/>
      <c r="D459" s="44"/>
      <c r="E459" s="70"/>
      <c r="F459" s="21"/>
    </row>
    <row r="460" spans="1:6" ht="12.75" customHeight="1" x14ac:dyDescent="0.2">
      <c r="A460" s="44"/>
      <c r="B460" s="44"/>
      <c r="C460" s="44"/>
      <c r="D460" s="44"/>
      <c r="E460" s="70"/>
      <c r="F460" s="21"/>
    </row>
    <row r="461" spans="1:6" ht="12.75" customHeight="1" x14ac:dyDescent="0.2">
      <c r="A461" s="44"/>
      <c r="B461" s="44"/>
      <c r="C461" s="44"/>
      <c r="D461" s="44"/>
      <c r="E461" s="70"/>
      <c r="F461" s="21"/>
    </row>
    <row r="462" spans="1:6" ht="12.75" customHeight="1" x14ac:dyDescent="0.2">
      <c r="A462" s="44"/>
      <c r="B462" s="44"/>
      <c r="C462" s="44"/>
      <c r="D462" s="44"/>
      <c r="E462" s="70"/>
      <c r="F462" s="21"/>
    </row>
    <row r="463" spans="1:6" ht="12.75" customHeight="1" x14ac:dyDescent="0.2">
      <c r="A463" s="44"/>
      <c r="B463" s="44"/>
      <c r="C463" s="44"/>
      <c r="D463" s="44"/>
      <c r="E463" s="70"/>
      <c r="F463" s="21"/>
    </row>
    <row r="464" spans="1:6" ht="12.75" customHeight="1" x14ac:dyDescent="0.2">
      <c r="A464" s="44"/>
      <c r="B464" s="44"/>
      <c r="C464" s="44"/>
      <c r="D464" s="44"/>
      <c r="E464" s="70"/>
      <c r="F464" s="21"/>
    </row>
    <row r="465" spans="1:6" ht="12.75" customHeight="1" x14ac:dyDescent="0.2">
      <c r="A465" s="44"/>
      <c r="B465" s="44"/>
      <c r="C465" s="44"/>
      <c r="D465" s="44"/>
      <c r="E465" s="70"/>
      <c r="F465" s="21"/>
    </row>
    <row r="466" spans="1:6" ht="12.75" customHeight="1" x14ac:dyDescent="0.2">
      <c r="A466" s="44"/>
      <c r="B466" s="44"/>
      <c r="C466" s="44"/>
      <c r="D466" s="44"/>
      <c r="E466" s="70"/>
      <c r="F466" s="21"/>
    </row>
    <row r="467" spans="1:6" ht="12.75" customHeight="1" x14ac:dyDescent="0.2">
      <c r="A467" s="44"/>
      <c r="B467" s="44"/>
      <c r="C467" s="44"/>
      <c r="D467" s="44"/>
      <c r="E467" s="70"/>
      <c r="F467" s="21"/>
    </row>
    <row r="468" spans="1:6" ht="12.75" customHeight="1" x14ac:dyDescent="0.2">
      <c r="A468" s="44"/>
      <c r="B468" s="44"/>
      <c r="C468" s="44"/>
      <c r="D468" s="44"/>
      <c r="E468" s="70"/>
      <c r="F468" s="21"/>
    </row>
    <row r="469" spans="1:6" ht="12.75" customHeight="1" x14ac:dyDescent="0.2">
      <c r="A469" s="44"/>
      <c r="B469" s="44"/>
      <c r="C469" s="44"/>
      <c r="D469" s="44"/>
      <c r="E469" s="70"/>
      <c r="F469" s="21"/>
    </row>
    <row r="470" spans="1:6" ht="12.75" customHeight="1" x14ac:dyDescent="0.2">
      <c r="A470" s="44"/>
      <c r="B470" s="44"/>
      <c r="C470" s="44"/>
      <c r="D470" s="44"/>
      <c r="E470" s="70"/>
      <c r="F470" s="21"/>
    </row>
    <row r="471" spans="1:6" ht="12.75" customHeight="1" x14ac:dyDescent="0.2">
      <c r="A471" s="44"/>
      <c r="B471" s="44"/>
      <c r="C471" s="44"/>
      <c r="D471" s="44"/>
      <c r="E471" s="70"/>
      <c r="F471" s="21"/>
    </row>
    <row r="472" spans="1:6" ht="12.75" customHeight="1" x14ac:dyDescent="0.2">
      <c r="A472" s="44"/>
      <c r="B472" s="44"/>
      <c r="C472" s="44"/>
      <c r="D472" s="44"/>
      <c r="E472" s="70"/>
      <c r="F472" s="21"/>
    </row>
    <row r="473" spans="1:6" ht="12.75" customHeight="1" x14ac:dyDescent="0.2">
      <c r="A473" s="44"/>
      <c r="B473" s="44"/>
      <c r="C473" s="44"/>
      <c r="D473" s="44"/>
      <c r="E473" s="70"/>
      <c r="F473" s="21"/>
    </row>
    <row r="474" spans="1:6" ht="12.75" customHeight="1" x14ac:dyDescent="0.2">
      <c r="A474" s="44"/>
      <c r="B474" s="44"/>
      <c r="C474" s="44"/>
      <c r="D474" s="44"/>
      <c r="E474" s="70"/>
      <c r="F474" s="21"/>
    </row>
    <row r="475" spans="1:6" ht="12.75" customHeight="1" x14ac:dyDescent="0.2">
      <c r="A475" s="44"/>
      <c r="B475" s="44"/>
      <c r="C475" s="44"/>
      <c r="D475" s="44"/>
      <c r="E475" s="70"/>
      <c r="F475" s="21"/>
    </row>
    <row r="476" spans="1:6" ht="12.75" customHeight="1" x14ac:dyDescent="0.2">
      <c r="A476" s="44"/>
      <c r="B476" s="44"/>
      <c r="C476" s="44"/>
      <c r="D476" s="44"/>
      <c r="E476" s="70"/>
      <c r="F476" s="21"/>
    </row>
    <row r="477" spans="1:6" ht="12.75" customHeight="1" x14ac:dyDescent="0.2">
      <c r="A477" s="44"/>
      <c r="B477" s="44"/>
      <c r="C477" s="44"/>
      <c r="D477" s="44"/>
      <c r="E477" s="70"/>
      <c r="F477" s="21"/>
    </row>
    <row r="478" spans="1:6" ht="12.75" customHeight="1" x14ac:dyDescent="0.2">
      <c r="A478" s="44"/>
      <c r="B478" s="44"/>
      <c r="C478" s="44"/>
      <c r="D478" s="44"/>
      <c r="E478" s="70"/>
      <c r="F478" s="21"/>
    </row>
    <row r="479" spans="1:6" ht="12.75" customHeight="1" x14ac:dyDescent="0.2">
      <c r="A479" s="44"/>
      <c r="B479" s="44"/>
      <c r="C479" s="44"/>
      <c r="D479" s="44"/>
      <c r="E479" s="70"/>
      <c r="F479" s="21"/>
    </row>
    <row r="480" spans="1:6" ht="12.75" customHeight="1" x14ac:dyDescent="0.2">
      <c r="A480" s="44"/>
      <c r="B480" s="44"/>
      <c r="C480" s="44"/>
      <c r="D480" s="44"/>
      <c r="E480" s="70"/>
      <c r="F480" s="21"/>
    </row>
    <row r="481" spans="1:6" ht="12.75" customHeight="1" x14ac:dyDescent="0.2">
      <c r="A481" s="44"/>
      <c r="B481" s="44"/>
      <c r="C481" s="44"/>
      <c r="D481" s="44"/>
      <c r="E481" s="70"/>
      <c r="F481" s="21"/>
    </row>
    <row r="482" spans="1:6" ht="12.75" customHeight="1" x14ac:dyDescent="0.2">
      <c r="A482" s="44"/>
      <c r="B482" s="44"/>
      <c r="C482" s="44"/>
      <c r="D482" s="44"/>
      <c r="E482" s="70"/>
      <c r="F482" s="21"/>
    </row>
    <row r="483" spans="1:6" ht="12.75" customHeight="1" x14ac:dyDescent="0.2">
      <c r="A483" s="44"/>
      <c r="B483" s="44"/>
      <c r="C483" s="44"/>
      <c r="D483" s="44"/>
      <c r="E483" s="70"/>
      <c r="F483" s="21"/>
    </row>
    <row r="484" spans="1:6" ht="12.75" customHeight="1" x14ac:dyDescent="0.2">
      <c r="A484" s="44"/>
      <c r="B484" s="44"/>
      <c r="C484" s="44"/>
      <c r="D484" s="44"/>
      <c r="E484" s="70"/>
      <c r="F484" s="21"/>
    </row>
    <row r="485" spans="1:6" ht="12.75" customHeight="1" x14ac:dyDescent="0.2">
      <c r="A485" s="44"/>
      <c r="B485" s="44"/>
      <c r="C485" s="44"/>
      <c r="D485" s="44"/>
      <c r="E485" s="70"/>
      <c r="F485" s="21"/>
    </row>
    <row r="486" spans="1:6" ht="12.75" customHeight="1" x14ac:dyDescent="0.2">
      <c r="A486" s="44"/>
      <c r="B486" s="44"/>
      <c r="C486" s="44"/>
      <c r="D486" s="44"/>
      <c r="E486" s="70"/>
      <c r="F486" s="21"/>
    </row>
    <row r="487" spans="1:6" ht="12.75" customHeight="1" x14ac:dyDescent="0.2">
      <c r="A487" s="44"/>
      <c r="B487" s="44"/>
      <c r="C487" s="44"/>
      <c r="D487" s="44"/>
      <c r="E487" s="70"/>
      <c r="F487" s="21"/>
    </row>
    <row r="488" spans="1:6" ht="12.75" customHeight="1" x14ac:dyDescent="0.2">
      <c r="A488" s="44"/>
      <c r="B488" s="44"/>
      <c r="C488" s="44"/>
      <c r="D488" s="44"/>
      <c r="E488" s="70"/>
      <c r="F488" s="21"/>
    </row>
    <row r="489" spans="1:6" ht="12.75" customHeight="1" x14ac:dyDescent="0.2">
      <c r="A489" s="44"/>
      <c r="B489" s="44"/>
      <c r="C489" s="44"/>
      <c r="D489" s="44"/>
      <c r="E489" s="70"/>
      <c r="F489" s="21"/>
    </row>
    <row r="490" spans="1:6" ht="12.75" customHeight="1" x14ac:dyDescent="0.2">
      <c r="A490" s="44"/>
      <c r="B490" s="44"/>
      <c r="C490" s="44"/>
      <c r="D490" s="44"/>
      <c r="E490" s="70"/>
      <c r="F490" s="21"/>
    </row>
    <row r="491" spans="1:6" ht="12.75" customHeight="1" x14ac:dyDescent="0.2">
      <c r="A491" s="44"/>
      <c r="B491" s="44"/>
      <c r="C491" s="44"/>
      <c r="D491" s="44"/>
      <c r="E491" s="70"/>
      <c r="F491" s="21"/>
    </row>
    <row r="492" spans="1:6" ht="12.75" customHeight="1" x14ac:dyDescent="0.2">
      <c r="A492" s="44"/>
      <c r="B492" s="44"/>
      <c r="C492" s="44"/>
      <c r="D492" s="44"/>
      <c r="E492" s="70"/>
      <c r="F492" s="21"/>
    </row>
    <row r="493" spans="1:6" ht="12.75" customHeight="1" x14ac:dyDescent="0.2">
      <c r="A493" s="44"/>
      <c r="B493" s="44"/>
      <c r="C493" s="44"/>
      <c r="D493" s="44"/>
      <c r="E493" s="70"/>
      <c r="F493" s="21"/>
    </row>
    <row r="494" spans="1:6" ht="12.75" customHeight="1" x14ac:dyDescent="0.2">
      <c r="A494" s="44"/>
      <c r="B494" s="44"/>
      <c r="C494" s="44"/>
      <c r="D494" s="44"/>
      <c r="E494" s="70"/>
      <c r="F494" s="21"/>
    </row>
    <row r="495" spans="1:6" ht="12.75" customHeight="1" x14ac:dyDescent="0.2">
      <c r="A495" s="44"/>
      <c r="B495" s="44"/>
      <c r="C495" s="44"/>
      <c r="D495" s="44"/>
      <c r="E495" s="70"/>
      <c r="F495" s="21"/>
    </row>
    <row r="496" spans="1:6" ht="12.75" customHeight="1" x14ac:dyDescent="0.2">
      <c r="A496" s="44"/>
      <c r="B496" s="44"/>
      <c r="C496" s="44"/>
      <c r="D496" s="44"/>
      <c r="E496" s="70"/>
      <c r="F496" s="21"/>
    </row>
    <row r="497" spans="1:6" ht="12.75" customHeight="1" x14ac:dyDescent="0.2">
      <c r="A497" s="44"/>
      <c r="B497" s="44"/>
      <c r="C497" s="44"/>
      <c r="D497" s="44"/>
      <c r="E497" s="70"/>
      <c r="F497" s="21"/>
    </row>
    <row r="498" spans="1:6" ht="12.75" customHeight="1" x14ac:dyDescent="0.2">
      <c r="A498" s="44"/>
      <c r="B498" s="44"/>
      <c r="C498" s="44"/>
      <c r="D498" s="44"/>
      <c r="E498" s="70"/>
      <c r="F498" s="21"/>
    </row>
    <row r="499" spans="1:6" ht="12.75" customHeight="1" x14ac:dyDescent="0.2">
      <c r="A499" s="44"/>
      <c r="B499" s="44"/>
      <c r="C499" s="44"/>
      <c r="D499" s="44"/>
      <c r="E499" s="70"/>
      <c r="F499" s="21"/>
    </row>
    <row r="500" spans="1:6" ht="12.75" customHeight="1" x14ac:dyDescent="0.2">
      <c r="A500" s="44"/>
      <c r="B500" s="44"/>
      <c r="C500" s="44"/>
      <c r="D500" s="44"/>
      <c r="E500" s="70"/>
      <c r="F500" s="21"/>
    </row>
    <row r="501" spans="1:6" ht="12.75" customHeight="1" x14ac:dyDescent="0.2">
      <c r="A501" s="44"/>
      <c r="B501" s="44"/>
      <c r="C501" s="44"/>
      <c r="D501" s="44"/>
      <c r="E501" s="70"/>
      <c r="F501" s="21"/>
    </row>
    <row r="502" spans="1:6" ht="12.75" customHeight="1" x14ac:dyDescent="0.2">
      <c r="A502" s="44"/>
      <c r="B502" s="44"/>
      <c r="C502" s="44"/>
      <c r="D502" s="44"/>
      <c r="E502" s="70"/>
      <c r="F502" s="21"/>
    </row>
    <row r="503" spans="1:6" ht="12.75" customHeight="1" x14ac:dyDescent="0.2">
      <c r="A503" s="44"/>
      <c r="B503" s="44"/>
      <c r="C503" s="44"/>
      <c r="D503" s="44"/>
      <c r="E503" s="70"/>
      <c r="F503" s="21"/>
    </row>
    <row r="504" spans="1:6" ht="12.75" customHeight="1" x14ac:dyDescent="0.2">
      <c r="A504" s="44"/>
      <c r="B504" s="44"/>
      <c r="C504" s="44"/>
      <c r="D504" s="44"/>
      <c r="E504" s="70"/>
      <c r="F504" s="21"/>
    </row>
    <row r="505" spans="1:6" ht="12.75" customHeight="1" x14ac:dyDescent="0.2">
      <c r="A505" s="44"/>
      <c r="B505" s="44"/>
      <c r="C505" s="44"/>
      <c r="D505" s="44"/>
      <c r="E505" s="70"/>
      <c r="F505" s="21"/>
    </row>
    <row r="506" spans="1:6" ht="12.75" customHeight="1" x14ac:dyDescent="0.2">
      <c r="A506" s="44"/>
      <c r="B506" s="44"/>
      <c r="C506" s="44"/>
      <c r="D506" s="44"/>
      <c r="E506" s="70"/>
      <c r="F506" s="21"/>
    </row>
    <row r="507" spans="1:6" ht="12.75" customHeight="1" x14ac:dyDescent="0.2">
      <c r="A507" s="44"/>
      <c r="B507" s="44"/>
      <c r="C507" s="44"/>
      <c r="D507" s="44"/>
      <c r="E507" s="70"/>
      <c r="F507" s="21"/>
    </row>
    <row r="508" spans="1:6" ht="12.75" customHeight="1" x14ac:dyDescent="0.2">
      <c r="A508" s="44"/>
      <c r="B508" s="44"/>
      <c r="C508" s="44"/>
      <c r="D508" s="44"/>
      <c r="E508" s="70"/>
      <c r="F508" s="21"/>
    </row>
    <row r="509" spans="1:6" ht="12.75" customHeight="1" x14ac:dyDescent="0.2">
      <c r="A509" s="44"/>
      <c r="B509" s="44"/>
      <c r="C509" s="44"/>
      <c r="D509" s="44"/>
      <c r="E509" s="70"/>
      <c r="F509" s="21"/>
    </row>
    <row r="510" spans="1:6" ht="12.75" customHeight="1" x14ac:dyDescent="0.2">
      <c r="A510" s="44"/>
      <c r="B510" s="44"/>
      <c r="C510" s="44"/>
      <c r="D510" s="44"/>
      <c r="E510" s="70"/>
      <c r="F510" s="21"/>
    </row>
    <row r="511" spans="1:6" ht="12.75" customHeight="1" x14ac:dyDescent="0.2">
      <c r="A511" s="44"/>
      <c r="B511" s="44"/>
      <c r="C511" s="44"/>
      <c r="D511" s="44"/>
      <c r="E511" s="70"/>
      <c r="F511" s="21"/>
    </row>
    <row r="512" spans="1:6" ht="12.75" customHeight="1" x14ac:dyDescent="0.2">
      <c r="A512" s="44"/>
      <c r="B512" s="44"/>
      <c r="C512" s="44"/>
      <c r="D512" s="44"/>
      <c r="E512" s="70"/>
      <c r="F512" s="21"/>
    </row>
    <row r="513" spans="1:6" ht="12.75" customHeight="1" x14ac:dyDescent="0.2">
      <c r="A513" s="44"/>
      <c r="B513" s="44"/>
      <c r="C513" s="44"/>
      <c r="D513" s="44"/>
      <c r="E513" s="70"/>
      <c r="F513" s="21"/>
    </row>
    <row r="514" spans="1:6" ht="12.75" customHeight="1" x14ac:dyDescent="0.2">
      <c r="A514" s="44"/>
      <c r="B514" s="44"/>
      <c r="C514" s="44"/>
      <c r="D514" s="44"/>
      <c r="E514" s="70"/>
      <c r="F514" s="21"/>
    </row>
    <row r="515" spans="1:6" ht="12.75" customHeight="1" x14ac:dyDescent="0.2">
      <c r="A515" s="44"/>
      <c r="B515" s="44"/>
      <c r="C515" s="44"/>
      <c r="D515" s="44"/>
      <c r="E515" s="70"/>
      <c r="F515" s="21"/>
    </row>
    <row r="516" spans="1:6" ht="12.75" customHeight="1" x14ac:dyDescent="0.2">
      <c r="A516" s="44"/>
      <c r="B516" s="44"/>
      <c r="C516" s="44"/>
      <c r="D516" s="44"/>
      <c r="E516" s="70"/>
      <c r="F516" s="21"/>
    </row>
    <row r="517" spans="1:6" ht="12.75" customHeight="1" x14ac:dyDescent="0.2">
      <c r="A517" s="44"/>
      <c r="B517" s="44"/>
      <c r="C517" s="44"/>
      <c r="D517" s="44"/>
      <c r="E517" s="70"/>
      <c r="F517" s="21"/>
    </row>
    <row r="518" spans="1:6" ht="12.75" customHeight="1" x14ac:dyDescent="0.2">
      <c r="A518" s="44"/>
      <c r="B518" s="44"/>
      <c r="C518" s="44"/>
      <c r="D518" s="44"/>
      <c r="E518" s="70"/>
      <c r="F518" s="21"/>
    </row>
    <row r="519" spans="1:6" ht="12.75" customHeight="1" x14ac:dyDescent="0.2">
      <c r="A519" s="44"/>
      <c r="B519" s="44"/>
      <c r="C519" s="44"/>
      <c r="D519" s="44"/>
      <c r="E519" s="70"/>
      <c r="F519" s="21"/>
    </row>
    <row r="520" spans="1:6" ht="12.75" customHeight="1" x14ac:dyDescent="0.2">
      <c r="A520" s="44"/>
      <c r="B520" s="44"/>
      <c r="C520" s="44"/>
      <c r="D520" s="44"/>
      <c r="E520" s="70"/>
      <c r="F520" s="21"/>
    </row>
    <row r="521" spans="1:6" ht="12.75" customHeight="1" x14ac:dyDescent="0.2">
      <c r="A521" s="44"/>
      <c r="B521" s="44"/>
      <c r="C521" s="44"/>
      <c r="D521" s="44"/>
      <c r="E521" s="70"/>
      <c r="F521" s="21"/>
    </row>
    <row r="522" spans="1:6" ht="12.75" customHeight="1" x14ac:dyDescent="0.2">
      <c r="A522" s="44"/>
      <c r="B522" s="44"/>
      <c r="C522" s="44"/>
      <c r="D522" s="44"/>
      <c r="E522" s="70"/>
      <c r="F522" s="21"/>
    </row>
    <row r="523" spans="1:6" ht="12.75" customHeight="1" x14ac:dyDescent="0.2">
      <c r="A523" s="44"/>
      <c r="B523" s="44"/>
      <c r="C523" s="44"/>
      <c r="D523" s="44"/>
      <c r="E523" s="70"/>
      <c r="F523" s="21"/>
    </row>
    <row r="524" spans="1:6" ht="12.75" customHeight="1" x14ac:dyDescent="0.2">
      <c r="A524" s="44"/>
      <c r="B524" s="44"/>
      <c r="C524" s="44"/>
      <c r="D524" s="44"/>
      <c r="E524" s="70"/>
      <c r="F524" s="21"/>
    </row>
    <row r="525" spans="1:6" ht="12.75" customHeight="1" x14ac:dyDescent="0.2">
      <c r="A525" s="44"/>
      <c r="B525" s="44"/>
      <c r="C525" s="44"/>
      <c r="D525" s="44"/>
      <c r="E525" s="70"/>
      <c r="F525" s="21"/>
    </row>
    <row r="526" spans="1:6" ht="12.75" customHeight="1" x14ac:dyDescent="0.2">
      <c r="A526" s="44"/>
      <c r="B526" s="44"/>
      <c r="C526" s="44"/>
      <c r="D526" s="44"/>
      <c r="E526" s="70"/>
      <c r="F526" s="21"/>
    </row>
    <row r="527" spans="1:6" ht="12.75" customHeight="1" x14ac:dyDescent="0.2">
      <c r="A527" s="44"/>
      <c r="B527" s="44"/>
      <c r="C527" s="44"/>
      <c r="D527" s="44"/>
      <c r="E527" s="70"/>
      <c r="F527" s="21"/>
    </row>
    <row r="528" spans="1:6" ht="12.75" customHeight="1" x14ac:dyDescent="0.2">
      <c r="A528" s="44"/>
      <c r="B528" s="44"/>
      <c r="C528" s="44"/>
      <c r="D528" s="44"/>
      <c r="E528" s="70"/>
      <c r="F528" s="21"/>
    </row>
    <row r="529" spans="1:6" ht="12.75" customHeight="1" x14ac:dyDescent="0.2">
      <c r="A529" s="44"/>
      <c r="B529" s="44"/>
      <c r="C529" s="44"/>
      <c r="D529" s="44"/>
      <c r="E529" s="70"/>
      <c r="F529" s="21"/>
    </row>
    <row r="530" spans="1:6" ht="12.75" customHeight="1" x14ac:dyDescent="0.2">
      <c r="A530" s="44"/>
      <c r="B530" s="44"/>
      <c r="C530" s="44"/>
      <c r="D530" s="44"/>
      <c r="E530" s="70"/>
      <c r="F53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45887</v>
      </c>
      <c r="C2" s="9" t="s">
        <v>5</v>
      </c>
      <c r="D2" s="10">
        <f>APT_ATFM_SES_YY!D2</f>
        <v>45869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136</v>
      </c>
    </row>
    <row r="4" spans="1:6" ht="12.75" customHeight="1" x14ac:dyDescent="0.2">
      <c r="A4" s="71" t="str">
        <f>APT_ATFM_SES_YY!A4</f>
        <v>Period: JAN-JUL</v>
      </c>
      <c r="B4" s="72"/>
      <c r="C4" s="72"/>
      <c r="D4" s="72"/>
      <c r="E4" s="72"/>
      <c r="F4" s="72"/>
    </row>
    <row r="5" spans="1:6" ht="12.75" customHeight="1" x14ac:dyDescent="0.2">
      <c r="A5" s="68" t="s">
        <v>111</v>
      </c>
      <c r="B5" s="68" t="s">
        <v>137</v>
      </c>
      <c r="C5" s="68" t="s">
        <v>138</v>
      </c>
      <c r="D5" s="68" t="s">
        <v>114</v>
      </c>
      <c r="E5" s="68" t="s">
        <v>139</v>
      </c>
      <c r="F5" s="68" t="s">
        <v>140</v>
      </c>
    </row>
    <row r="6" spans="1:6" ht="12.75" customHeight="1" x14ac:dyDescent="0.2">
      <c r="A6" s="73" t="s">
        <v>116</v>
      </c>
      <c r="B6" s="74" t="s">
        <v>141</v>
      </c>
      <c r="C6" s="74" t="s">
        <v>142</v>
      </c>
      <c r="D6" s="69">
        <f t="shared" ref="D6:D194" si="0">F6/E6</f>
        <v>0.74832740957558019</v>
      </c>
      <c r="E6" s="75">
        <v>57396</v>
      </c>
      <c r="F6" s="75">
        <v>42951</v>
      </c>
    </row>
    <row r="7" spans="1:6" ht="12.75" customHeight="1" x14ac:dyDescent="0.2">
      <c r="A7" s="76" t="s">
        <v>121</v>
      </c>
      <c r="B7" s="74" t="s">
        <v>143</v>
      </c>
      <c r="C7" s="74" t="s">
        <v>144</v>
      </c>
      <c r="D7" s="69">
        <f t="shared" si="0"/>
        <v>1.3171133266258118E-2</v>
      </c>
      <c r="E7" s="75">
        <v>54665</v>
      </c>
      <c r="F7" s="75">
        <v>720</v>
      </c>
    </row>
    <row r="8" spans="1:6" ht="12.75" customHeight="1" x14ac:dyDescent="0.2">
      <c r="A8" s="76" t="s">
        <v>121</v>
      </c>
      <c r="B8" s="74" t="s">
        <v>145</v>
      </c>
      <c r="C8" s="74" t="s">
        <v>146</v>
      </c>
      <c r="D8" s="69">
        <f t="shared" si="0"/>
        <v>0</v>
      </c>
      <c r="E8" s="75">
        <v>3517</v>
      </c>
      <c r="F8" s="75">
        <v>0</v>
      </c>
    </row>
    <row r="9" spans="1:6" ht="12.75" customHeight="1" x14ac:dyDescent="0.2">
      <c r="A9" s="76" t="s">
        <v>121</v>
      </c>
      <c r="B9" s="74" t="s">
        <v>147</v>
      </c>
      <c r="C9" s="74" t="s">
        <v>148</v>
      </c>
      <c r="D9" s="69">
        <f t="shared" si="0"/>
        <v>0</v>
      </c>
      <c r="E9" s="75">
        <v>1103</v>
      </c>
      <c r="F9" s="75">
        <v>0</v>
      </c>
    </row>
    <row r="10" spans="1:6" ht="12.75" customHeight="1" x14ac:dyDescent="0.2">
      <c r="A10" s="76" t="s">
        <v>121</v>
      </c>
      <c r="B10" s="74" t="s">
        <v>149</v>
      </c>
      <c r="C10" s="74" t="s">
        <v>150</v>
      </c>
      <c r="D10" s="69">
        <f t="shared" si="0"/>
        <v>1.0237977042394435</v>
      </c>
      <c r="E10" s="75">
        <v>130937</v>
      </c>
      <c r="F10" s="75">
        <v>134053</v>
      </c>
    </row>
    <row r="11" spans="1:6" ht="12.75" customHeight="1" x14ac:dyDescent="0.2">
      <c r="A11" s="76" t="s">
        <v>121</v>
      </c>
      <c r="B11" s="74" t="s">
        <v>151</v>
      </c>
      <c r="C11" s="74" t="s">
        <v>152</v>
      </c>
      <c r="D11" s="69">
        <f t="shared" si="0"/>
        <v>0</v>
      </c>
      <c r="E11" s="75">
        <v>5349</v>
      </c>
      <c r="F11" s="75">
        <v>0</v>
      </c>
    </row>
    <row r="12" spans="1:6" ht="12.75" customHeight="1" x14ac:dyDescent="0.2">
      <c r="A12" s="76" t="s">
        <v>121</v>
      </c>
      <c r="B12" s="74" t="s">
        <v>153</v>
      </c>
      <c r="C12" s="74" t="s">
        <v>154</v>
      </c>
      <c r="D12" s="69">
        <f t="shared" si="0"/>
        <v>1.0298244091527091E-2</v>
      </c>
      <c r="E12" s="75">
        <v>34569</v>
      </c>
      <c r="F12" s="75">
        <v>356</v>
      </c>
    </row>
    <row r="13" spans="1:6" ht="12.75" customHeight="1" x14ac:dyDescent="0.2">
      <c r="A13" s="76" t="s">
        <v>121</v>
      </c>
      <c r="B13" s="74" t="s">
        <v>155</v>
      </c>
      <c r="C13" s="74" t="s">
        <v>156</v>
      </c>
      <c r="D13" s="69">
        <f t="shared" si="0"/>
        <v>0.510843083586489</v>
      </c>
      <c r="E13" s="75">
        <v>33247</v>
      </c>
      <c r="F13" s="75">
        <v>16984</v>
      </c>
    </row>
    <row r="14" spans="1:6" ht="12.75" customHeight="1" x14ac:dyDescent="0.2">
      <c r="A14" s="76" t="s">
        <v>121</v>
      </c>
      <c r="B14" s="74" t="s">
        <v>157</v>
      </c>
      <c r="C14" s="74" t="s">
        <v>158</v>
      </c>
      <c r="D14" s="69">
        <f t="shared" si="0"/>
        <v>7.0267993704697093E-2</v>
      </c>
      <c r="E14" s="75">
        <v>45113</v>
      </c>
      <c r="F14" s="75">
        <v>3170</v>
      </c>
    </row>
    <row r="15" spans="1:6" ht="12.75" customHeight="1" x14ac:dyDescent="0.2">
      <c r="A15" s="76" t="s">
        <v>121</v>
      </c>
      <c r="B15" s="74" t="s">
        <v>159</v>
      </c>
      <c r="C15" s="74" t="s">
        <v>160</v>
      </c>
      <c r="D15" s="69">
        <f t="shared" si="0"/>
        <v>0.38060184605103786</v>
      </c>
      <c r="E15" s="75">
        <v>95772</v>
      </c>
      <c r="F15" s="75">
        <v>36451</v>
      </c>
    </row>
    <row r="16" spans="1:6" ht="12.75" customHeight="1" x14ac:dyDescent="0.2">
      <c r="A16" s="76" t="s">
        <v>121</v>
      </c>
      <c r="B16" s="74" t="s">
        <v>161</v>
      </c>
      <c r="C16" s="74" t="s">
        <v>162</v>
      </c>
      <c r="D16" s="69">
        <f t="shared" si="0"/>
        <v>0</v>
      </c>
      <c r="E16" s="75">
        <v>11940</v>
      </c>
      <c r="F16" s="75">
        <v>0</v>
      </c>
    </row>
    <row r="17" spans="1:6" ht="12.75" customHeight="1" x14ac:dyDescent="0.2">
      <c r="A17" s="76" t="s">
        <v>121</v>
      </c>
      <c r="B17" s="74" t="s">
        <v>163</v>
      </c>
      <c r="C17" s="74" t="s">
        <v>164</v>
      </c>
      <c r="D17" s="69">
        <f t="shared" si="0"/>
        <v>0.1937861772126849</v>
      </c>
      <c r="E17" s="75">
        <v>20213</v>
      </c>
      <c r="F17" s="75">
        <v>3917</v>
      </c>
    </row>
    <row r="18" spans="1:6" ht="12.75" customHeight="1" x14ac:dyDescent="0.2">
      <c r="A18" s="76" t="s">
        <v>121</v>
      </c>
      <c r="B18" s="74" t="s">
        <v>165</v>
      </c>
      <c r="C18" s="74" t="s">
        <v>166</v>
      </c>
      <c r="D18" s="69">
        <f t="shared" si="0"/>
        <v>0</v>
      </c>
      <c r="E18" s="75">
        <v>1614</v>
      </c>
      <c r="F18" s="75">
        <v>0</v>
      </c>
    </row>
    <row r="19" spans="1:6" ht="12.75" customHeight="1" x14ac:dyDescent="0.2">
      <c r="A19" s="76" t="s">
        <v>121</v>
      </c>
      <c r="B19" s="74" t="s">
        <v>167</v>
      </c>
      <c r="C19" s="74" t="s">
        <v>168</v>
      </c>
      <c r="D19" s="69">
        <f t="shared" si="0"/>
        <v>0.2927538541210214</v>
      </c>
      <c r="E19" s="75">
        <v>25103</v>
      </c>
      <c r="F19" s="75">
        <v>7349</v>
      </c>
    </row>
    <row r="20" spans="1:6" ht="12.75" customHeight="1" x14ac:dyDescent="0.2">
      <c r="A20" s="76" t="s">
        <v>121</v>
      </c>
      <c r="B20" s="74" t="s">
        <v>169</v>
      </c>
      <c r="C20" s="74" t="s">
        <v>170</v>
      </c>
      <c r="D20" s="69">
        <f t="shared" si="0"/>
        <v>0</v>
      </c>
      <c r="E20" s="75">
        <v>14534</v>
      </c>
      <c r="F20" s="75">
        <v>0</v>
      </c>
    </row>
    <row r="21" spans="1:6" ht="12.75" customHeight="1" x14ac:dyDescent="0.2">
      <c r="A21" s="76" t="s">
        <v>121</v>
      </c>
      <c r="B21" s="74" t="s">
        <v>171</v>
      </c>
      <c r="C21" s="74" t="s">
        <v>172</v>
      </c>
      <c r="D21" s="69">
        <f t="shared" si="0"/>
        <v>1.4885920979410128E-2</v>
      </c>
      <c r="E21" s="75">
        <v>7188</v>
      </c>
      <c r="F21" s="75">
        <v>107</v>
      </c>
    </row>
    <row r="22" spans="1:6" ht="12.75" customHeight="1" x14ac:dyDescent="0.2">
      <c r="A22" s="76" t="s">
        <v>119</v>
      </c>
      <c r="B22" s="74" t="s">
        <v>173</v>
      </c>
      <c r="C22" s="74" t="s">
        <v>174</v>
      </c>
      <c r="D22" s="69">
        <f t="shared" si="0"/>
        <v>0.15373630541981836</v>
      </c>
      <c r="E22" s="75">
        <v>44817</v>
      </c>
      <c r="F22" s="75">
        <v>6890</v>
      </c>
    </row>
    <row r="23" spans="1:6" ht="12.75" customHeight="1" x14ac:dyDescent="0.2">
      <c r="A23" s="76" t="s">
        <v>128</v>
      </c>
      <c r="B23" s="74" t="s">
        <v>175</v>
      </c>
      <c r="C23" s="74" t="s">
        <v>176</v>
      </c>
      <c r="D23" s="69">
        <f t="shared" si="0"/>
        <v>4.4560948057506504</v>
      </c>
      <c r="E23" s="75">
        <v>142523</v>
      </c>
      <c r="F23" s="75">
        <v>635096</v>
      </c>
    </row>
    <row r="24" spans="1:6" ht="12.75" customHeight="1" x14ac:dyDescent="0.2">
      <c r="A24" s="76" t="s">
        <v>128</v>
      </c>
      <c r="B24" s="74" t="s">
        <v>177</v>
      </c>
      <c r="C24" s="74" t="s">
        <v>178</v>
      </c>
      <c r="D24" s="69">
        <f t="shared" si="0"/>
        <v>6.6916488222698078E-2</v>
      </c>
      <c r="E24" s="75">
        <v>1868</v>
      </c>
      <c r="F24" s="75">
        <v>125</v>
      </c>
    </row>
    <row r="25" spans="1:6" ht="12.75" customHeight="1" x14ac:dyDescent="0.2">
      <c r="A25" s="76" t="s">
        <v>128</v>
      </c>
      <c r="B25" s="74" t="s">
        <v>179</v>
      </c>
      <c r="C25" s="74" t="s">
        <v>180</v>
      </c>
      <c r="D25" s="69">
        <f t="shared" si="0"/>
        <v>9.7178683385579934E-3</v>
      </c>
      <c r="E25" s="75">
        <v>3190</v>
      </c>
      <c r="F25" s="75">
        <v>31</v>
      </c>
    </row>
    <row r="26" spans="1:6" ht="12.75" customHeight="1" x14ac:dyDescent="0.2">
      <c r="A26" s="76" t="s">
        <v>128</v>
      </c>
      <c r="B26" s="74" t="s">
        <v>181</v>
      </c>
      <c r="C26" s="74" t="s">
        <v>182</v>
      </c>
      <c r="D26" s="69">
        <f t="shared" si="0"/>
        <v>0</v>
      </c>
      <c r="E26" s="75">
        <v>7710</v>
      </c>
      <c r="F26" s="75">
        <v>0</v>
      </c>
    </row>
    <row r="27" spans="1:6" ht="12.75" customHeight="1" x14ac:dyDescent="0.2">
      <c r="A27" s="76" t="s">
        <v>124</v>
      </c>
      <c r="B27" s="74" t="s">
        <v>183</v>
      </c>
      <c r="C27" s="74" t="s">
        <v>184</v>
      </c>
      <c r="D27" s="69">
        <f t="shared" si="0"/>
        <v>1.0619010619010619E-2</v>
      </c>
      <c r="E27" s="75">
        <v>7722</v>
      </c>
      <c r="F27" s="75">
        <v>82</v>
      </c>
    </row>
    <row r="28" spans="1:6" ht="12.75" customHeight="1" x14ac:dyDescent="0.2">
      <c r="A28" s="76" t="s">
        <v>124</v>
      </c>
      <c r="B28" s="74" t="s">
        <v>185</v>
      </c>
      <c r="C28" s="74" t="s">
        <v>186</v>
      </c>
      <c r="D28" s="69">
        <f t="shared" si="0"/>
        <v>0.10165021059172823</v>
      </c>
      <c r="E28" s="75">
        <v>72415</v>
      </c>
      <c r="F28" s="75">
        <v>7361</v>
      </c>
    </row>
    <row r="29" spans="1:6" ht="12.75" customHeight="1" x14ac:dyDescent="0.2">
      <c r="A29" s="76" t="s">
        <v>124</v>
      </c>
      <c r="B29" s="74" t="s">
        <v>187</v>
      </c>
      <c r="C29" s="74" t="s">
        <v>188</v>
      </c>
      <c r="D29" s="69">
        <f t="shared" si="0"/>
        <v>0</v>
      </c>
      <c r="E29" s="75">
        <v>6966</v>
      </c>
      <c r="F29" s="75">
        <v>0</v>
      </c>
    </row>
    <row r="30" spans="1:6" ht="12.75" customHeight="1" x14ac:dyDescent="0.2">
      <c r="A30" s="76" t="s">
        <v>118</v>
      </c>
      <c r="B30" s="74" t="s">
        <v>189</v>
      </c>
      <c r="C30" s="74" t="s">
        <v>190</v>
      </c>
      <c r="D30" s="69">
        <f t="shared" si="0"/>
        <v>0.41243639071614746</v>
      </c>
      <c r="E30" s="75">
        <v>72513</v>
      </c>
      <c r="F30" s="75">
        <v>29907</v>
      </c>
    </row>
    <row r="31" spans="1:6" ht="12.75" customHeight="1" x14ac:dyDescent="0.2">
      <c r="A31" s="76" t="s">
        <v>126</v>
      </c>
      <c r="B31" s="74" t="s">
        <v>191</v>
      </c>
      <c r="C31" s="74" t="s">
        <v>192</v>
      </c>
      <c r="D31" s="69">
        <f t="shared" si="0"/>
        <v>0.10750110094436562</v>
      </c>
      <c r="E31" s="75">
        <v>20437</v>
      </c>
      <c r="F31" s="75">
        <v>2197</v>
      </c>
    </row>
    <row r="32" spans="1:6" ht="12.75" customHeight="1" x14ac:dyDescent="0.2">
      <c r="A32" s="76" t="s">
        <v>129</v>
      </c>
      <c r="B32" s="74" t="s">
        <v>193</v>
      </c>
      <c r="C32" s="74" t="s">
        <v>194</v>
      </c>
      <c r="D32" s="69">
        <f t="shared" si="0"/>
        <v>1.2486492976347701E-2</v>
      </c>
      <c r="E32" s="75">
        <v>24987</v>
      </c>
      <c r="F32" s="75">
        <v>312</v>
      </c>
    </row>
    <row r="33" spans="1:6" ht="12.75" customHeight="1" x14ac:dyDescent="0.2">
      <c r="A33" s="76" t="s">
        <v>129</v>
      </c>
      <c r="B33" s="74" t="s">
        <v>195</v>
      </c>
      <c r="C33" s="74" t="s">
        <v>196</v>
      </c>
      <c r="D33" s="69">
        <f t="shared" si="0"/>
        <v>0.32176164187018497</v>
      </c>
      <c r="E33" s="75">
        <v>64122</v>
      </c>
      <c r="F33" s="75">
        <v>20632</v>
      </c>
    </row>
    <row r="34" spans="1:6" ht="12.75" customHeight="1" x14ac:dyDescent="0.2">
      <c r="A34" s="76" t="s">
        <v>129</v>
      </c>
      <c r="B34" s="74" t="s">
        <v>197</v>
      </c>
      <c r="C34" s="74" t="s">
        <v>198</v>
      </c>
      <c r="D34" s="69">
        <f t="shared" si="0"/>
        <v>0</v>
      </c>
      <c r="E34" s="75">
        <v>14834</v>
      </c>
      <c r="F34" s="75">
        <v>0</v>
      </c>
    </row>
    <row r="35" spans="1:6" ht="12.75" customHeight="1" x14ac:dyDescent="0.2">
      <c r="A35" s="76" t="s">
        <v>129</v>
      </c>
      <c r="B35" s="74" t="s">
        <v>199</v>
      </c>
      <c r="C35" s="74" t="s">
        <v>200</v>
      </c>
      <c r="D35" s="69">
        <f t="shared" si="0"/>
        <v>0</v>
      </c>
      <c r="E35" s="75">
        <v>16488</v>
      </c>
      <c r="F35" s="75">
        <v>0</v>
      </c>
    </row>
    <row r="36" spans="1:6" ht="12.75" customHeight="1" x14ac:dyDescent="0.2">
      <c r="A36" s="76" t="s">
        <v>130</v>
      </c>
      <c r="B36" s="74" t="s">
        <v>201</v>
      </c>
      <c r="C36" s="74" t="s">
        <v>202</v>
      </c>
      <c r="D36" s="69">
        <f t="shared" si="0"/>
        <v>0</v>
      </c>
      <c r="E36" s="75">
        <v>1387</v>
      </c>
      <c r="F36" s="75">
        <v>0</v>
      </c>
    </row>
    <row r="37" spans="1:6" ht="12.75" customHeight="1" x14ac:dyDescent="0.2">
      <c r="A37" s="76" t="s">
        <v>130</v>
      </c>
      <c r="B37" s="74" t="s">
        <v>203</v>
      </c>
      <c r="C37" s="74" t="s">
        <v>204</v>
      </c>
      <c r="D37" s="69">
        <f t="shared" si="0"/>
        <v>0</v>
      </c>
      <c r="E37" s="75">
        <v>15188</v>
      </c>
      <c r="F37" s="75">
        <v>0</v>
      </c>
    </row>
    <row r="38" spans="1:6" ht="12.75" customHeight="1" x14ac:dyDescent="0.2">
      <c r="A38" s="76" t="s">
        <v>130</v>
      </c>
      <c r="B38" s="74" t="s">
        <v>205</v>
      </c>
      <c r="C38" s="74" t="s">
        <v>206</v>
      </c>
      <c r="D38" s="69">
        <f t="shared" si="0"/>
        <v>0.40269757299196379</v>
      </c>
      <c r="E38" s="75">
        <v>24763</v>
      </c>
      <c r="F38" s="75">
        <v>9972</v>
      </c>
    </row>
    <row r="39" spans="1:6" ht="12.75" customHeight="1" x14ac:dyDescent="0.2">
      <c r="A39" s="76" t="s">
        <v>130</v>
      </c>
      <c r="B39" s="74" t="s">
        <v>207</v>
      </c>
      <c r="C39" s="74" t="s">
        <v>208</v>
      </c>
      <c r="D39" s="69">
        <f t="shared" si="0"/>
        <v>0.14668125455871628</v>
      </c>
      <c r="E39" s="75">
        <v>13710</v>
      </c>
      <c r="F39" s="75">
        <v>2011</v>
      </c>
    </row>
    <row r="40" spans="1:6" ht="12.75" customHeight="1" x14ac:dyDescent="0.2">
      <c r="A40" s="76" t="s">
        <v>130</v>
      </c>
      <c r="B40" s="74" t="s">
        <v>209</v>
      </c>
      <c r="C40" s="74" t="s">
        <v>210</v>
      </c>
      <c r="D40" s="69">
        <f t="shared" si="0"/>
        <v>0</v>
      </c>
      <c r="E40" s="75">
        <v>1235</v>
      </c>
      <c r="F40" s="75">
        <v>0</v>
      </c>
    </row>
    <row r="41" spans="1:6" ht="12.75" customHeight="1" x14ac:dyDescent="0.2">
      <c r="A41" s="76" t="s">
        <v>130</v>
      </c>
      <c r="B41" s="74" t="s">
        <v>211</v>
      </c>
      <c r="C41" s="74" t="s">
        <v>212</v>
      </c>
      <c r="D41" s="69">
        <f t="shared" si="0"/>
        <v>2.772002772002772E-3</v>
      </c>
      <c r="E41" s="75">
        <v>1443</v>
      </c>
      <c r="F41" s="75">
        <v>4</v>
      </c>
    </row>
    <row r="42" spans="1:6" ht="12.75" customHeight="1" x14ac:dyDescent="0.2">
      <c r="A42" s="76" t="s">
        <v>130</v>
      </c>
      <c r="B42" s="74" t="s">
        <v>213</v>
      </c>
      <c r="C42" s="74" t="s">
        <v>214</v>
      </c>
      <c r="D42" s="69">
        <f t="shared" si="0"/>
        <v>7.133592736705577E-3</v>
      </c>
      <c r="E42" s="75">
        <v>3084</v>
      </c>
      <c r="F42" s="75">
        <v>22</v>
      </c>
    </row>
    <row r="43" spans="1:6" ht="12.75" customHeight="1" x14ac:dyDescent="0.2">
      <c r="A43" s="76" t="s">
        <v>130</v>
      </c>
      <c r="B43" s="74" t="s">
        <v>215</v>
      </c>
      <c r="C43" s="74" t="s">
        <v>216</v>
      </c>
      <c r="D43" s="69">
        <f t="shared" si="0"/>
        <v>0</v>
      </c>
      <c r="E43" s="75">
        <v>9579</v>
      </c>
      <c r="F43" s="75">
        <v>0</v>
      </c>
    </row>
    <row r="44" spans="1:6" ht="12.75" customHeight="1" x14ac:dyDescent="0.2">
      <c r="A44" s="76" t="s">
        <v>130</v>
      </c>
      <c r="B44" s="74" t="s">
        <v>217</v>
      </c>
      <c r="C44" s="74" t="s">
        <v>218</v>
      </c>
      <c r="D44" s="69">
        <f t="shared" si="0"/>
        <v>0</v>
      </c>
      <c r="E44" s="75">
        <v>274</v>
      </c>
      <c r="F44" s="75">
        <v>0</v>
      </c>
    </row>
    <row r="45" spans="1:6" ht="12.75" customHeight="1" x14ac:dyDescent="0.2">
      <c r="A45" s="76" t="s">
        <v>130</v>
      </c>
      <c r="B45" s="74" t="s">
        <v>219</v>
      </c>
      <c r="C45" s="74" t="s">
        <v>220</v>
      </c>
      <c r="D45" s="69">
        <f t="shared" si="0"/>
        <v>0.24234412866270102</v>
      </c>
      <c r="E45" s="75">
        <v>4539</v>
      </c>
      <c r="F45" s="75">
        <v>1100</v>
      </c>
    </row>
    <row r="46" spans="1:6" ht="12.75" customHeight="1" x14ac:dyDescent="0.2">
      <c r="A46" s="76" t="s">
        <v>130</v>
      </c>
      <c r="B46" s="74" t="s">
        <v>221</v>
      </c>
      <c r="C46" s="74" t="s">
        <v>222</v>
      </c>
      <c r="D46" s="69">
        <f t="shared" si="0"/>
        <v>0</v>
      </c>
      <c r="E46" s="75">
        <v>1628</v>
      </c>
      <c r="F46" s="75">
        <v>0</v>
      </c>
    </row>
    <row r="47" spans="1:6" ht="12.75" customHeight="1" x14ac:dyDescent="0.2">
      <c r="A47" s="76" t="s">
        <v>130</v>
      </c>
      <c r="B47" s="74" t="s">
        <v>223</v>
      </c>
      <c r="C47" s="74" t="s">
        <v>224</v>
      </c>
      <c r="D47" s="69">
        <f t="shared" si="0"/>
        <v>0</v>
      </c>
      <c r="E47" s="75">
        <v>362</v>
      </c>
      <c r="F47" s="75">
        <v>0</v>
      </c>
    </row>
    <row r="48" spans="1:6" ht="12.75" customHeight="1" x14ac:dyDescent="0.2">
      <c r="A48" s="76" t="s">
        <v>130</v>
      </c>
      <c r="B48" s="74" t="s">
        <v>225</v>
      </c>
      <c r="C48" s="74" t="s">
        <v>226</v>
      </c>
      <c r="D48" s="69">
        <f t="shared" si="0"/>
        <v>0.11003820405874312</v>
      </c>
      <c r="E48" s="75">
        <v>57062</v>
      </c>
      <c r="F48" s="75">
        <v>6279</v>
      </c>
    </row>
    <row r="49" spans="1:6" ht="12.75" customHeight="1" x14ac:dyDescent="0.2">
      <c r="A49" s="76" t="s">
        <v>130</v>
      </c>
      <c r="B49" s="74" t="s">
        <v>227</v>
      </c>
      <c r="C49" s="74" t="s">
        <v>228</v>
      </c>
      <c r="D49" s="69">
        <f t="shared" si="0"/>
        <v>0.65972039039831176</v>
      </c>
      <c r="E49" s="75">
        <v>11373</v>
      </c>
      <c r="F49" s="75">
        <v>7503</v>
      </c>
    </row>
    <row r="50" spans="1:6" ht="12.75" customHeight="1" x14ac:dyDescent="0.2">
      <c r="A50" s="76" t="s">
        <v>130</v>
      </c>
      <c r="B50" s="74" t="s">
        <v>229</v>
      </c>
      <c r="C50" s="74" t="s">
        <v>230</v>
      </c>
      <c r="D50" s="69">
        <f t="shared" si="0"/>
        <v>0</v>
      </c>
      <c r="E50" s="75">
        <v>341</v>
      </c>
      <c r="F50" s="75">
        <v>0</v>
      </c>
    </row>
    <row r="51" spans="1:6" ht="12.75" customHeight="1" x14ac:dyDescent="0.2">
      <c r="A51" s="76" t="s">
        <v>134</v>
      </c>
      <c r="B51" s="74" t="s">
        <v>231</v>
      </c>
      <c r="C51" s="74" t="s">
        <v>232</v>
      </c>
      <c r="D51" s="69">
        <f t="shared" si="0"/>
        <v>2.8540600744840069E-3</v>
      </c>
      <c r="E51" s="75">
        <v>57462</v>
      </c>
      <c r="F51" s="75">
        <v>164</v>
      </c>
    </row>
    <row r="52" spans="1:6" ht="12.75" customHeight="1" x14ac:dyDescent="0.2">
      <c r="A52" s="76" t="s">
        <v>133</v>
      </c>
      <c r="B52" s="74" t="s">
        <v>233</v>
      </c>
      <c r="C52" s="74" t="s">
        <v>234</v>
      </c>
      <c r="D52" s="69">
        <f t="shared" si="0"/>
        <v>0.86400410627428936</v>
      </c>
      <c r="E52" s="75">
        <v>40913</v>
      </c>
      <c r="F52" s="75">
        <v>35349</v>
      </c>
    </row>
    <row r="53" spans="1:6" ht="12.75" customHeight="1" x14ac:dyDescent="0.2">
      <c r="A53" s="76" t="s">
        <v>133</v>
      </c>
      <c r="B53" s="74" t="s">
        <v>235</v>
      </c>
      <c r="C53" s="74" t="s">
        <v>236</v>
      </c>
      <c r="D53" s="69">
        <f t="shared" si="0"/>
        <v>0.13196827361197053</v>
      </c>
      <c r="E53" s="75">
        <v>35554</v>
      </c>
      <c r="F53" s="75">
        <v>4692</v>
      </c>
    </row>
    <row r="54" spans="1:6" ht="12.75" customHeight="1" x14ac:dyDescent="0.2">
      <c r="A54" s="76" t="s">
        <v>133</v>
      </c>
      <c r="B54" s="74" t="s">
        <v>237</v>
      </c>
      <c r="C54" s="74" t="s">
        <v>238</v>
      </c>
      <c r="D54" s="69">
        <f t="shared" si="0"/>
        <v>1.0729136586774473</v>
      </c>
      <c r="E54" s="75">
        <v>103890</v>
      </c>
      <c r="F54" s="75">
        <v>111465</v>
      </c>
    </row>
    <row r="55" spans="1:6" ht="12.75" customHeight="1" x14ac:dyDescent="0.2">
      <c r="A55" s="76" t="s">
        <v>133</v>
      </c>
      <c r="B55" s="74" t="s">
        <v>239</v>
      </c>
      <c r="C55" s="74" t="s">
        <v>240</v>
      </c>
      <c r="D55" s="69">
        <f t="shared" si="0"/>
        <v>9.6147289464711905E-2</v>
      </c>
      <c r="E55" s="75">
        <v>23464</v>
      </c>
      <c r="F55" s="75">
        <v>2256</v>
      </c>
    </row>
    <row r="56" spans="1:6" ht="12.75" customHeight="1" x14ac:dyDescent="0.2">
      <c r="A56" s="76" t="s">
        <v>133</v>
      </c>
      <c r="B56" s="74" t="s">
        <v>241</v>
      </c>
      <c r="C56" s="74" t="s">
        <v>242</v>
      </c>
      <c r="D56" s="69">
        <f t="shared" si="0"/>
        <v>0.60815549706418304</v>
      </c>
      <c r="E56" s="75">
        <v>123475</v>
      </c>
      <c r="F56" s="75">
        <v>75092</v>
      </c>
    </row>
    <row r="57" spans="1:6" ht="12.75" customHeight="1" x14ac:dyDescent="0.2">
      <c r="A57" s="76" t="s">
        <v>133</v>
      </c>
      <c r="B57" s="74" t="s">
        <v>243</v>
      </c>
      <c r="C57" s="74" t="s">
        <v>244</v>
      </c>
      <c r="D57" s="69">
        <f t="shared" si="0"/>
        <v>0.52671843543284436</v>
      </c>
      <c r="E57" s="75">
        <v>52155</v>
      </c>
      <c r="F57" s="75">
        <v>27471</v>
      </c>
    </row>
    <row r="58" spans="1:6" ht="12.75" customHeight="1" x14ac:dyDescent="0.2">
      <c r="A58" s="76" t="s">
        <v>133</v>
      </c>
      <c r="B58" s="74" t="s">
        <v>245</v>
      </c>
      <c r="C58" s="74" t="s">
        <v>246</v>
      </c>
      <c r="D58" s="69">
        <f t="shared" si="0"/>
        <v>1.2207279950838181</v>
      </c>
      <c r="E58" s="75">
        <v>69973</v>
      </c>
      <c r="F58" s="75">
        <v>85418</v>
      </c>
    </row>
    <row r="59" spans="1:6" ht="12.75" customHeight="1" x14ac:dyDescent="0.2">
      <c r="A59" s="76" t="s">
        <v>120</v>
      </c>
      <c r="B59" s="74" t="s">
        <v>247</v>
      </c>
      <c r="C59" s="74" t="s">
        <v>248</v>
      </c>
      <c r="D59" s="69">
        <f t="shared" si="0"/>
        <v>0</v>
      </c>
      <c r="E59" s="75">
        <v>558</v>
      </c>
      <c r="F59" s="75">
        <v>0</v>
      </c>
    </row>
    <row r="60" spans="1:6" ht="12.75" customHeight="1" x14ac:dyDescent="0.2">
      <c r="A60" s="76" t="s">
        <v>120</v>
      </c>
      <c r="B60" s="74" t="s">
        <v>249</v>
      </c>
      <c r="C60" s="74" t="s">
        <v>250</v>
      </c>
      <c r="D60" s="69">
        <f t="shared" si="0"/>
        <v>0.89453525750632656</v>
      </c>
      <c r="E60" s="75">
        <v>14621</v>
      </c>
      <c r="F60" s="75">
        <v>13079</v>
      </c>
    </row>
    <row r="61" spans="1:6" ht="12.75" customHeight="1" x14ac:dyDescent="0.2">
      <c r="A61" s="76" t="s">
        <v>120</v>
      </c>
      <c r="B61" s="74" t="s">
        <v>251</v>
      </c>
      <c r="C61" s="74" t="s">
        <v>252</v>
      </c>
      <c r="D61" s="69">
        <f t="shared" si="0"/>
        <v>0</v>
      </c>
      <c r="E61" s="75">
        <v>1052</v>
      </c>
      <c r="F61" s="75">
        <v>0</v>
      </c>
    </row>
    <row r="62" spans="1:6" ht="12.75" customHeight="1" x14ac:dyDescent="0.2">
      <c r="A62" s="76" t="s">
        <v>120</v>
      </c>
      <c r="B62" s="74" t="s">
        <v>253</v>
      </c>
      <c r="C62" s="74" t="s">
        <v>254</v>
      </c>
      <c r="D62" s="69">
        <f t="shared" si="0"/>
        <v>0</v>
      </c>
      <c r="E62" s="75">
        <v>1420</v>
      </c>
      <c r="F62" s="75">
        <v>0</v>
      </c>
    </row>
    <row r="63" spans="1:6" ht="12.75" customHeight="1" x14ac:dyDescent="0.2">
      <c r="A63" s="76" t="s">
        <v>120</v>
      </c>
      <c r="B63" s="74" t="s">
        <v>255</v>
      </c>
      <c r="C63" s="74" t="s">
        <v>256</v>
      </c>
      <c r="D63" s="69">
        <f t="shared" si="0"/>
        <v>3.9408866995073892E-2</v>
      </c>
      <c r="E63" s="75">
        <v>1015</v>
      </c>
      <c r="F63" s="75">
        <v>40</v>
      </c>
    </row>
    <row r="64" spans="1:6" ht="12.75" customHeight="1" x14ac:dyDescent="0.2">
      <c r="A64" s="76" t="s">
        <v>120</v>
      </c>
      <c r="B64" s="74" t="s">
        <v>257</v>
      </c>
      <c r="C64" s="74" t="s">
        <v>258</v>
      </c>
      <c r="D64" s="69">
        <f t="shared" si="0"/>
        <v>2.9882604055496264E-2</v>
      </c>
      <c r="E64" s="75">
        <v>1874</v>
      </c>
      <c r="F64" s="75">
        <v>56</v>
      </c>
    </row>
    <row r="65" spans="1:6" ht="12.75" customHeight="1" x14ac:dyDescent="0.2">
      <c r="A65" s="76" t="s">
        <v>120</v>
      </c>
      <c r="B65" s="74" t="s">
        <v>259</v>
      </c>
      <c r="C65" s="76" t="s">
        <v>260</v>
      </c>
      <c r="D65" s="69">
        <f t="shared" si="0"/>
        <v>0.67069591603243295</v>
      </c>
      <c r="E65" s="75">
        <v>20103</v>
      </c>
      <c r="F65" s="75">
        <v>13483</v>
      </c>
    </row>
    <row r="66" spans="1:6" ht="12.75" customHeight="1" x14ac:dyDescent="0.2">
      <c r="A66" s="76" t="s">
        <v>120</v>
      </c>
      <c r="B66" s="74" t="s">
        <v>261</v>
      </c>
      <c r="C66" s="74" t="s">
        <v>262</v>
      </c>
      <c r="D66" s="69">
        <f t="shared" si="0"/>
        <v>0</v>
      </c>
      <c r="E66" s="75">
        <v>2132</v>
      </c>
      <c r="F66" s="75">
        <v>0</v>
      </c>
    </row>
    <row r="67" spans="1:6" ht="12.75" customHeight="1" x14ac:dyDescent="0.2">
      <c r="A67" s="76" t="s">
        <v>120</v>
      </c>
      <c r="B67" s="74" t="s">
        <v>263</v>
      </c>
      <c r="C67" s="74" t="s">
        <v>264</v>
      </c>
      <c r="D67" s="69">
        <f t="shared" si="0"/>
        <v>0.26147278548559233</v>
      </c>
      <c r="E67" s="75">
        <v>1874</v>
      </c>
      <c r="F67" s="75">
        <v>490</v>
      </c>
    </row>
    <row r="68" spans="1:6" ht="12.75" customHeight="1" x14ac:dyDescent="0.2">
      <c r="A68" s="76" t="s">
        <v>120</v>
      </c>
      <c r="B68" s="74" t="s">
        <v>265</v>
      </c>
      <c r="C68" s="74" t="s">
        <v>266</v>
      </c>
      <c r="D68" s="69">
        <f t="shared" si="0"/>
        <v>0</v>
      </c>
      <c r="E68" s="75">
        <v>3522</v>
      </c>
      <c r="F68" s="75">
        <v>0</v>
      </c>
    </row>
    <row r="69" spans="1:6" ht="12.75" customHeight="1" x14ac:dyDescent="0.2">
      <c r="A69" s="76" t="s">
        <v>120</v>
      </c>
      <c r="B69" s="74" t="s">
        <v>267</v>
      </c>
      <c r="C69" s="74" t="s">
        <v>268</v>
      </c>
      <c r="D69" s="69">
        <f t="shared" si="0"/>
        <v>0</v>
      </c>
      <c r="E69" s="75">
        <v>1126</v>
      </c>
      <c r="F69" s="75">
        <v>0</v>
      </c>
    </row>
    <row r="70" spans="1:6" ht="12.75" customHeight="1" x14ac:dyDescent="0.2">
      <c r="A70" s="76" t="s">
        <v>120</v>
      </c>
      <c r="B70" s="74" t="s">
        <v>269</v>
      </c>
      <c r="C70" s="74" t="s">
        <v>270</v>
      </c>
      <c r="D70" s="69">
        <f t="shared" si="0"/>
        <v>0</v>
      </c>
      <c r="E70" s="75">
        <v>812</v>
      </c>
      <c r="F70" s="75">
        <v>0</v>
      </c>
    </row>
    <row r="71" spans="1:6" ht="12.75" customHeight="1" x14ac:dyDescent="0.2">
      <c r="A71" s="76" t="s">
        <v>120</v>
      </c>
      <c r="B71" s="74" t="s">
        <v>271</v>
      </c>
      <c r="C71" s="74" t="s">
        <v>272</v>
      </c>
      <c r="D71" s="69">
        <f t="shared" si="0"/>
        <v>0</v>
      </c>
      <c r="E71" s="75">
        <v>606</v>
      </c>
      <c r="F71" s="75">
        <v>0</v>
      </c>
    </row>
    <row r="72" spans="1:6" ht="12.75" customHeight="1" x14ac:dyDescent="0.2">
      <c r="A72" s="76" t="s">
        <v>120</v>
      </c>
      <c r="B72" s="74" t="s">
        <v>273</v>
      </c>
      <c r="C72" s="74" t="s">
        <v>274</v>
      </c>
      <c r="D72" s="69">
        <f t="shared" si="0"/>
        <v>2.5296964364276288E-2</v>
      </c>
      <c r="E72" s="75">
        <v>4546</v>
      </c>
      <c r="F72" s="75">
        <v>115</v>
      </c>
    </row>
    <row r="73" spans="1:6" ht="12.75" customHeight="1" x14ac:dyDescent="0.2">
      <c r="A73" s="76" t="s">
        <v>120</v>
      </c>
      <c r="B73" s="74" t="s">
        <v>275</v>
      </c>
      <c r="C73" s="74" t="s">
        <v>276</v>
      </c>
      <c r="D73" s="69">
        <f t="shared" si="0"/>
        <v>0.11779704232534421</v>
      </c>
      <c r="E73" s="75">
        <v>1961</v>
      </c>
      <c r="F73" s="75">
        <v>231</v>
      </c>
    </row>
    <row r="74" spans="1:6" ht="12.75" customHeight="1" x14ac:dyDescent="0.2">
      <c r="A74" s="76" t="s">
        <v>120</v>
      </c>
      <c r="B74" s="74" t="s">
        <v>277</v>
      </c>
      <c r="C74" s="74" t="s">
        <v>278</v>
      </c>
      <c r="D74" s="69">
        <f t="shared" si="0"/>
        <v>0.10014992503748125</v>
      </c>
      <c r="E74" s="75">
        <v>3335</v>
      </c>
      <c r="F74" s="75">
        <v>334</v>
      </c>
    </row>
    <row r="75" spans="1:6" ht="12.75" customHeight="1" x14ac:dyDescent="0.2">
      <c r="A75" s="76" t="s">
        <v>120</v>
      </c>
      <c r="B75" s="74" t="s">
        <v>279</v>
      </c>
      <c r="C75" s="74" t="s">
        <v>280</v>
      </c>
      <c r="D75" s="69">
        <f t="shared" si="0"/>
        <v>1.9222367846221056E-2</v>
      </c>
      <c r="E75" s="75">
        <v>4578</v>
      </c>
      <c r="F75" s="75">
        <v>88</v>
      </c>
    </row>
    <row r="76" spans="1:6" ht="12.75" customHeight="1" x14ac:dyDescent="0.2">
      <c r="A76" s="76" t="s">
        <v>120</v>
      </c>
      <c r="B76" s="74" t="s">
        <v>281</v>
      </c>
      <c r="C76" s="74" t="s">
        <v>282</v>
      </c>
      <c r="D76" s="69">
        <f t="shared" si="0"/>
        <v>1.0439267886855241</v>
      </c>
      <c r="E76" s="75">
        <v>3005</v>
      </c>
      <c r="F76" s="75">
        <v>3137</v>
      </c>
    </row>
    <row r="77" spans="1:6" ht="12.75" customHeight="1" x14ac:dyDescent="0.2">
      <c r="A77" s="76" t="s">
        <v>120</v>
      </c>
      <c r="B77" s="74" t="s">
        <v>283</v>
      </c>
      <c r="C77" s="74" t="s">
        <v>284</v>
      </c>
      <c r="D77" s="69">
        <f t="shared" si="0"/>
        <v>7.8936435396759451E-3</v>
      </c>
      <c r="E77" s="75">
        <v>2407</v>
      </c>
      <c r="F77" s="75">
        <v>19</v>
      </c>
    </row>
    <row r="78" spans="1:6" ht="12.75" customHeight="1" x14ac:dyDescent="0.2">
      <c r="A78" s="76" t="s">
        <v>120</v>
      </c>
      <c r="B78" s="74" t="s">
        <v>285</v>
      </c>
      <c r="C78" s="74" t="s">
        <v>286</v>
      </c>
      <c r="D78" s="69">
        <f t="shared" si="0"/>
        <v>8.971729896001172E-3</v>
      </c>
      <c r="E78" s="75">
        <v>27308</v>
      </c>
      <c r="F78" s="75">
        <v>245</v>
      </c>
    </row>
    <row r="79" spans="1:6" ht="12.75" customHeight="1" x14ac:dyDescent="0.2">
      <c r="A79" s="76" t="s">
        <v>120</v>
      </c>
      <c r="B79" s="74" t="s">
        <v>287</v>
      </c>
      <c r="C79" s="74" t="s">
        <v>288</v>
      </c>
      <c r="D79" s="69">
        <f t="shared" si="0"/>
        <v>0.30865384615384617</v>
      </c>
      <c r="E79" s="75">
        <v>1040</v>
      </c>
      <c r="F79" s="75">
        <v>321</v>
      </c>
    </row>
    <row r="80" spans="1:6" ht="12.75" customHeight="1" x14ac:dyDescent="0.2">
      <c r="A80" s="76" t="s">
        <v>120</v>
      </c>
      <c r="B80" s="74" t="s">
        <v>289</v>
      </c>
      <c r="C80" s="74" t="s">
        <v>290</v>
      </c>
      <c r="D80" s="69">
        <f t="shared" si="0"/>
        <v>1.4794422595638184</v>
      </c>
      <c r="E80" s="75">
        <v>2797</v>
      </c>
      <c r="F80" s="75">
        <v>4138</v>
      </c>
    </row>
    <row r="81" spans="1:6" ht="12.75" customHeight="1" x14ac:dyDescent="0.2">
      <c r="A81" s="76" t="s">
        <v>120</v>
      </c>
      <c r="B81" s="74" t="s">
        <v>291</v>
      </c>
      <c r="C81" s="74" t="s">
        <v>292</v>
      </c>
      <c r="D81" s="69">
        <f t="shared" si="0"/>
        <v>0</v>
      </c>
      <c r="E81" s="75">
        <v>576</v>
      </c>
      <c r="F81" s="75">
        <v>0</v>
      </c>
    </row>
    <row r="82" spans="1:6" ht="12.75" customHeight="1" x14ac:dyDescent="0.2">
      <c r="A82" s="76" t="s">
        <v>120</v>
      </c>
      <c r="B82" s="74" t="s">
        <v>293</v>
      </c>
      <c r="C82" s="74" t="s">
        <v>294</v>
      </c>
      <c r="D82" s="69">
        <f t="shared" si="0"/>
        <v>0</v>
      </c>
      <c r="E82" s="75">
        <v>2538</v>
      </c>
      <c r="F82" s="75">
        <v>0</v>
      </c>
    </row>
    <row r="83" spans="1:6" ht="12.75" customHeight="1" x14ac:dyDescent="0.2">
      <c r="A83" s="76" t="s">
        <v>120</v>
      </c>
      <c r="B83" s="74" t="s">
        <v>295</v>
      </c>
      <c r="C83" s="74" t="s">
        <v>296</v>
      </c>
      <c r="D83" s="69">
        <f t="shared" si="0"/>
        <v>3.2741261815783687</v>
      </c>
      <c r="E83" s="75">
        <v>4549</v>
      </c>
      <c r="F83" s="75">
        <v>14894</v>
      </c>
    </row>
    <row r="84" spans="1:6" ht="12.75" customHeight="1" x14ac:dyDescent="0.2">
      <c r="A84" s="76" t="s">
        <v>120</v>
      </c>
      <c r="B84" s="74" t="s">
        <v>297</v>
      </c>
      <c r="C84" s="74" t="s">
        <v>298</v>
      </c>
      <c r="D84" s="69">
        <f t="shared" si="0"/>
        <v>0</v>
      </c>
      <c r="E84" s="75">
        <v>1315</v>
      </c>
      <c r="F84" s="75">
        <v>0</v>
      </c>
    </row>
    <row r="85" spans="1:6" ht="12.75" customHeight="1" x14ac:dyDescent="0.2">
      <c r="A85" s="76" t="s">
        <v>120</v>
      </c>
      <c r="B85" s="74" t="s">
        <v>299</v>
      </c>
      <c r="C85" s="74" t="s">
        <v>300</v>
      </c>
      <c r="D85" s="69">
        <f t="shared" si="0"/>
        <v>0</v>
      </c>
      <c r="E85" s="75">
        <v>1433</v>
      </c>
      <c r="F85" s="75">
        <v>0</v>
      </c>
    </row>
    <row r="86" spans="1:6" ht="12.75" customHeight="1" x14ac:dyDescent="0.2">
      <c r="A86" s="76" t="s">
        <v>120</v>
      </c>
      <c r="B86" s="74" t="s">
        <v>301</v>
      </c>
      <c r="C86" s="74" t="s">
        <v>302</v>
      </c>
      <c r="D86" s="69">
        <f t="shared" si="0"/>
        <v>0.61715150264768581</v>
      </c>
      <c r="E86" s="75">
        <v>29082</v>
      </c>
      <c r="F86" s="75">
        <v>17948</v>
      </c>
    </row>
    <row r="87" spans="1:6" ht="12.75" customHeight="1" x14ac:dyDescent="0.2">
      <c r="A87" s="76" t="s">
        <v>120</v>
      </c>
      <c r="B87" s="74" t="s">
        <v>303</v>
      </c>
      <c r="C87" s="74" t="s">
        <v>304</v>
      </c>
      <c r="D87" s="69">
        <f t="shared" si="0"/>
        <v>4.14428658550358</v>
      </c>
      <c r="E87" s="75">
        <v>44273</v>
      </c>
      <c r="F87" s="75">
        <v>183480</v>
      </c>
    </row>
    <row r="88" spans="1:6" ht="12.75" customHeight="1" x14ac:dyDescent="0.2">
      <c r="A88" s="76" t="s">
        <v>120</v>
      </c>
      <c r="B88" s="74" t="s">
        <v>305</v>
      </c>
      <c r="C88" s="74" t="s">
        <v>306</v>
      </c>
      <c r="D88" s="69">
        <f t="shared" si="0"/>
        <v>5.1508686376104847E-2</v>
      </c>
      <c r="E88" s="75">
        <v>3281</v>
      </c>
      <c r="F88" s="75">
        <v>169</v>
      </c>
    </row>
    <row r="89" spans="1:6" ht="12.75" customHeight="1" x14ac:dyDescent="0.2">
      <c r="A89" s="76" t="s">
        <v>120</v>
      </c>
      <c r="B89" s="74" t="s">
        <v>307</v>
      </c>
      <c r="C89" s="74" t="s">
        <v>308</v>
      </c>
      <c r="D89" s="69">
        <f t="shared" si="0"/>
        <v>0</v>
      </c>
      <c r="E89" s="75">
        <v>7413</v>
      </c>
      <c r="F89" s="75">
        <v>0</v>
      </c>
    </row>
    <row r="90" spans="1:6" ht="12.75" customHeight="1" x14ac:dyDescent="0.2">
      <c r="A90" s="76" t="s">
        <v>120</v>
      </c>
      <c r="B90" s="74" t="s">
        <v>309</v>
      </c>
      <c r="C90" s="74" t="s">
        <v>310</v>
      </c>
      <c r="D90" s="69">
        <f t="shared" si="0"/>
        <v>0</v>
      </c>
      <c r="E90" s="75">
        <v>2079</v>
      </c>
      <c r="F90" s="75">
        <v>0</v>
      </c>
    </row>
    <row r="91" spans="1:6" ht="12.75" customHeight="1" x14ac:dyDescent="0.2">
      <c r="A91" s="76" t="s">
        <v>120</v>
      </c>
      <c r="B91" s="74" t="s">
        <v>311</v>
      </c>
      <c r="C91" s="74" t="s">
        <v>312</v>
      </c>
      <c r="D91" s="69">
        <f t="shared" si="0"/>
        <v>1.3750462791558682</v>
      </c>
      <c r="E91" s="75">
        <v>2701</v>
      </c>
      <c r="F91" s="75">
        <v>3714</v>
      </c>
    </row>
    <row r="92" spans="1:6" ht="12.75" customHeight="1" x14ac:dyDescent="0.2">
      <c r="A92" s="76" t="s">
        <v>120</v>
      </c>
      <c r="B92" s="74" t="s">
        <v>313</v>
      </c>
      <c r="C92" s="74" t="s">
        <v>314</v>
      </c>
      <c r="D92" s="69">
        <f t="shared" si="0"/>
        <v>0.33488604225586427</v>
      </c>
      <c r="E92" s="75">
        <v>12022</v>
      </c>
      <c r="F92" s="75">
        <v>4026</v>
      </c>
    </row>
    <row r="93" spans="1:6" ht="12.75" customHeight="1" x14ac:dyDescent="0.2">
      <c r="A93" s="76" t="s">
        <v>120</v>
      </c>
      <c r="B93" s="74" t="s">
        <v>315</v>
      </c>
      <c r="C93" s="74" t="s">
        <v>316</v>
      </c>
      <c r="D93" s="69">
        <f t="shared" si="0"/>
        <v>0</v>
      </c>
      <c r="E93" s="75">
        <v>821</v>
      </c>
      <c r="F93" s="75">
        <v>0</v>
      </c>
    </row>
    <row r="94" spans="1:6" ht="12.75" customHeight="1" x14ac:dyDescent="0.2">
      <c r="A94" s="76" t="s">
        <v>120</v>
      </c>
      <c r="B94" s="74" t="s">
        <v>317</v>
      </c>
      <c r="C94" s="74" t="s">
        <v>318</v>
      </c>
      <c r="D94" s="69">
        <f t="shared" si="0"/>
        <v>0.10998552821997105</v>
      </c>
      <c r="E94" s="75">
        <v>1382</v>
      </c>
      <c r="F94" s="75">
        <v>152</v>
      </c>
    </row>
    <row r="95" spans="1:6" ht="12.75" customHeight="1" x14ac:dyDescent="0.2">
      <c r="A95" s="76" t="s">
        <v>120</v>
      </c>
      <c r="B95" s="74" t="s">
        <v>319</v>
      </c>
      <c r="C95" s="74" t="s">
        <v>320</v>
      </c>
      <c r="D95" s="69">
        <f t="shared" si="0"/>
        <v>1.7612278055007544</v>
      </c>
      <c r="E95" s="75">
        <v>17234</v>
      </c>
      <c r="F95" s="75">
        <v>30353</v>
      </c>
    </row>
    <row r="96" spans="1:6" ht="12.75" customHeight="1" x14ac:dyDescent="0.2">
      <c r="A96" s="76" t="s">
        <v>120</v>
      </c>
      <c r="B96" s="74" t="s">
        <v>321</v>
      </c>
      <c r="C96" s="74" t="s">
        <v>322</v>
      </c>
      <c r="D96" s="69">
        <f t="shared" si="0"/>
        <v>0.40394235306929976</v>
      </c>
      <c r="E96" s="75">
        <v>137735</v>
      </c>
      <c r="F96" s="75">
        <v>55637</v>
      </c>
    </row>
    <row r="97" spans="1:6" ht="12.75" customHeight="1" x14ac:dyDescent="0.2">
      <c r="A97" s="76" t="s">
        <v>120</v>
      </c>
      <c r="B97" s="74" t="s">
        <v>323</v>
      </c>
      <c r="C97" s="74" t="s">
        <v>324</v>
      </c>
      <c r="D97" s="69">
        <f t="shared" si="0"/>
        <v>2.6320881483472185</v>
      </c>
      <c r="E97" s="75">
        <v>3721</v>
      </c>
      <c r="F97" s="75">
        <v>9794</v>
      </c>
    </row>
    <row r="98" spans="1:6" ht="12.75" customHeight="1" x14ac:dyDescent="0.2">
      <c r="A98" s="76" t="s">
        <v>120</v>
      </c>
      <c r="B98" s="74" t="s">
        <v>325</v>
      </c>
      <c r="C98" s="74" t="s">
        <v>326</v>
      </c>
      <c r="D98" s="69">
        <f t="shared" si="0"/>
        <v>0.97901054286952194</v>
      </c>
      <c r="E98" s="75">
        <v>62317</v>
      </c>
      <c r="F98" s="75">
        <v>61009</v>
      </c>
    </row>
    <row r="99" spans="1:6" ht="12.75" customHeight="1" x14ac:dyDescent="0.2">
      <c r="A99" s="76" t="s">
        <v>120</v>
      </c>
      <c r="B99" s="74" t="s">
        <v>327</v>
      </c>
      <c r="C99" s="74" t="s">
        <v>328</v>
      </c>
      <c r="D99" s="69">
        <f t="shared" si="0"/>
        <v>3.9701074264362445E-3</v>
      </c>
      <c r="E99" s="75">
        <v>4282</v>
      </c>
      <c r="F99" s="75">
        <v>17</v>
      </c>
    </row>
    <row r="100" spans="1:6" ht="12.75" customHeight="1" x14ac:dyDescent="0.2">
      <c r="A100" s="76" t="s">
        <v>120</v>
      </c>
      <c r="B100" s="74" t="s">
        <v>329</v>
      </c>
      <c r="C100" s="74" t="s">
        <v>330</v>
      </c>
      <c r="D100" s="69">
        <f t="shared" si="0"/>
        <v>0</v>
      </c>
      <c r="E100" s="75">
        <v>3909</v>
      </c>
      <c r="F100" s="75">
        <v>0</v>
      </c>
    </row>
    <row r="101" spans="1:6" ht="12.75" customHeight="1" x14ac:dyDescent="0.2">
      <c r="A101" s="76" t="s">
        <v>120</v>
      </c>
      <c r="B101" s="74" t="s">
        <v>331</v>
      </c>
      <c r="C101" s="74" t="s">
        <v>332</v>
      </c>
      <c r="D101" s="69">
        <f t="shared" si="0"/>
        <v>0.14068825910931174</v>
      </c>
      <c r="E101" s="75">
        <v>988</v>
      </c>
      <c r="F101" s="75">
        <v>139</v>
      </c>
    </row>
    <row r="102" spans="1:6" ht="12.75" customHeight="1" x14ac:dyDescent="0.2">
      <c r="A102" s="76" t="s">
        <v>120</v>
      </c>
      <c r="B102" s="74" t="s">
        <v>333</v>
      </c>
      <c r="C102" s="74" t="s">
        <v>334</v>
      </c>
      <c r="D102" s="69">
        <f t="shared" si="0"/>
        <v>0</v>
      </c>
      <c r="E102" s="75">
        <v>1212</v>
      </c>
      <c r="F102" s="75">
        <v>0</v>
      </c>
    </row>
    <row r="103" spans="1:6" ht="12.75" customHeight="1" x14ac:dyDescent="0.2">
      <c r="A103" s="76" t="s">
        <v>120</v>
      </c>
      <c r="B103" s="74" t="s">
        <v>335</v>
      </c>
      <c r="C103" s="74" t="s">
        <v>336</v>
      </c>
      <c r="D103" s="69">
        <f t="shared" si="0"/>
        <v>7.8381795195954493E-2</v>
      </c>
      <c r="E103" s="75">
        <v>1582</v>
      </c>
      <c r="F103" s="75">
        <v>124</v>
      </c>
    </row>
    <row r="104" spans="1:6" ht="12.75" customHeight="1" x14ac:dyDescent="0.2">
      <c r="A104" s="76" t="s">
        <v>120</v>
      </c>
      <c r="B104" s="74" t="s">
        <v>337</v>
      </c>
      <c r="C104" s="74" t="s">
        <v>338</v>
      </c>
      <c r="D104" s="69">
        <f t="shared" si="0"/>
        <v>0</v>
      </c>
      <c r="E104" s="75">
        <v>3315</v>
      </c>
      <c r="F104" s="75">
        <v>0</v>
      </c>
    </row>
    <row r="105" spans="1:6" ht="12.75" customHeight="1" x14ac:dyDescent="0.2">
      <c r="A105" s="76" t="s">
        <v>120</v>
      </c>
      <c r="B105" s="74" t="s">
        <v>339</v>
      </c>
      <c r="C105" s="74" t="s">
        <v>340</v>
      </c>
      <c r="D105" s="69">
        <f t="shared" si="0"/>
        <v>0</v>
      </c>
      <c r="E105" s="75">
        <v>355</v>
      </c>
      <c r="F105" s="75">
        <v>0</v>
      </c>
    </row>
    <row r="106" spans="1:6" ht="12.75" customHeight="1" x14ac:dyDescent="0.2">
      <c r="A106" s="76" t="s">
        <v>120</v>
      </c>
      <c r="B106" s="74" t="s">
        <v>341</v>
      </c>
      <c r="C106" s="74" t="s">
        <v>342</v>
      </c>
      <c r="D106" s="69">
        <f t="shared" si="0"/>
        <v>0.2912779698610477</v>
      </c>
      <c r="E106" s="75">
        <v>15329</v>
      </c>
      <c r="F106" s="75">
        <v>4465</v>
      </c>
    </row>
    <row r="107" spans="1:6" ht="12.75" customHeight="1" x14ac:dyDescent="0.2">
      <c r="A107" s="76" t="s">
        <v>120</v>
      </c>
      <c r="B107" s="74" t="s">
        <v>343</v>
      </c>
      <c r="C107" s="74" t="s">
        <v>344</v>
      </c>
      <c r="D107" s="69">
        <f t="shared" si="0"/>
        <v>0</v>
      </c>
      <c r="E107" s="75">
        <v>925</v>
      </c>
      <c r="F107" s="75">
        <v>0</v>
      </c>
    </row>
    <row r="108" spans="1:6" ht="12.75" customHeight="1" x14ac:dyDescent="0.2">
      <c r="A108" s="76" t="s">
        <v>120</v>
      </c>
      <c r="B108" s="74" t="s">
        <v>345</v>
      </c>
      <c r="C108" s="74" t="s">
        <v>346</v>
      </c>
      <c r="D108" s="69">
        <f t="shared" si="0"/>
        <v>4.1633483762498896E-2</v>
      </c>
      <c r="E108" s="75">
        <v>22602</v>
      </c>
      <c r="F108" s="75">
        <v>941</v>
      </c>
    </row>
    <row r="109" spans="1:6" ht="12.75" customHeight="1" x14ac:dyDescent="0.2">
      <c r="A109" s="76" t="s">
        <v>120</v>
      </c>
      <c r="B109" s="74" t="s">
        <v>347</v>
      </c>
      <c r="C109" s="74" t="s">
        <v>348</v>
      </c>
      <c r="D109" s="69">
        <f t="shared" si="0"/>
        <v>0</v>
      </c>
      <c r="E109" s="75">
        <v>1056</v>
      </c>
      <c r="F109" s="75">
        <v>0</v>
      </c>
    </row>
    <row r="110" spans="1:6" ht="12.75" customHeight="1" x14ac:dyDescent="0.2">
      <c r="A110" s="76" t="s">
        <v>120</v>
      </c>
      <c r="B110" s="74" t="s">
        <v>349</v>
      </c>
      <c r="C110" s="74" t="s">
        <v>350</v>
      </c>
      <c r="D110" s="69">
        <f t="shared" si="0"/>
        <v>0.32969083155650319</v>
      </c>
      <c r="E110" s="75">
        <v>3752</v>
      </c>
      <c r="F110" s="75">
        <v>1237</v>
      </c>
    </row>
    <row r="111" spans="1:6" ht="12.75" customHeight="1" x14ac:dyDescent="0.2">
      <c r="A111" s="76" t="s">
        <v>120</v>
      </c>
      <c r="B111" s="74" t="s">
        <v>351</v>
      </c>
      <c r="C111" s="74" t="s">
        <v>352</v>
      </c>
      <c r="D111" s="69">
        <f t="shared" si="0"/>
        <v>0.7609057609057609</v>
      </c>
      <c r="E111" s="75">
        <v>3003</v>
      </c>
      <c r="F111" s="75">
        <v>2285</v>
      </c>
    </row>
    <row r="112" spans="1:6" ht="12.75" customHeight="1" x14ac:dyDescent="0.2">
      <c r="A112" s="76" t="s">
        <v>120</v>
      </c>
      <c r="B112" s="74" t="s">
        <v>353</v>
      </c>
      <c r="C112" s="74" t="s">
        <v>354</v>
      </c>
      <c r="D112" s="69">
        <f t="shared" si="0"/>
        <v>0</v>
      </c>
      <c r="E112" s="75">
        <v>2070</v>
      </c>
      <c r="F112" s="75">
        <v>0</v>
      </c>
    </row>
    <row r="113" spans="1:6" ht="12.75" customHeight="1" x14ac:dyDescent="0.2">
      <c r="A113" s="76" t="s">
        <v>122</v>
      </c>
      <c r="B113" s="74" t="s">
        <v>355</v>
      </c>
      <c r="C113" s="74" t="s">
        <v>356</v>
      </c>
      <c r="D113" s="69">
        <f t="shared" si="0"/>
        <v>6.1971683539940505</v>
      </c>
      <c r="E113" s="75">
        <v>78329</v>
      </c>
      <c r="F113" s="75">
        <v>485418</v>
      </c>
    </row>
    <row r="114" spans="1:6" ht="12.75" customHeight="1" x14ac:dyDescent="0.2">
      <c r="A114" s="76" t="s">
        <v>123</v>
      </c>
      <c r="B114" s="74" t="s">
        <v>357</v>
      </c>
      <c r="C114" s="74" t="s">
        <v>358</v>
      </c>
      <c r="D114" s="69">
        <f t="shared" si="0"/>
        <v>5.5431518977596432E-3</v>
      </c>
      <c r="E114" s="75">
        <v>38967</v>
      </c>
      <c r="F114" s="75">
        <v>216</v>
      </c>
    </row>
    <row r="115" spans="1:6" ht="12.75" customHeight="1" x14ac:dyDescent="0.2">
      <c r="A115" s="76" t="s">
        <v>125</v>
      </c>
      <c r="B115" s="74" t="s">
        <v>359</v>
      </c>
      <c r="C115" s="74" t="s">
        <v>360</v>
      </c>
      <c r="D115" s="69">
        <f t="shared" si="0"/>
        <v>0</v>
      </c>
      <c r="E115" s="75">
        <v>795</v>
      </c>
      <c r="F115" s="75">
        <v>0</v>
      </c>
    </row>
    <row r="116" spans="1:6" ht="12.75" customHeight="1" x14ac:dyDescent="0.2">
      <c r="A116" s="76" t="s">
        <v>125</v>
      </c>
      <c r="B116" s="74" t="s">
        <v>361</v>
      </c>
      <c r="C116" s="74" t="s">
        <v>362</v>
      </c>
      <c r="D116" s="69">
        <f t="shared" si="0"/>
        <v>0</v>
      </c>
      <c r="E116" s="75">
        <v>15244</v>
      </c>
      <c r="F116" s="75">
        <v>0</v>
      </c>
    </row>
    <row r="117" spans="1:6" ht="12.75" customHeight="1" x14ac:dyDescent="0.2">
      <c r="A117" s="76" t="s">
        <v>125</v>
      </c>
      <c r="B117" s="74" t="s">
        <v>363</v>
      </c>
      <c r="C117" s="74" t="s">
        <v>364</v>
      </c>
      <c r="D117" s="69">
        <f t="shared" si="0"/>
        <v>0</v>
      </c>
      <c r="E117" s="75">
        <v>608</v>
      </c>
      <c r="F117" s="75">
        <v>0</v>
      </c>
    </row>
    <row r="118" spans="1:6" ht="12.75" customHeight="1" x14ac:dyDescent="0.2">
      <c r="A118" s="76" t="s">
        <v>125</v>
      </c>
      <c r="B118" s="74" t="s">
        <v>365</v>
      </c>
      <c r="C118" s="74" t="s">
        <v>366</v>
      </c>
      <c r="D118" s="69">
        <f t="shared" si="0"/>
        <v>0.12264150943396226</v>
      </c>
      <c r="E118" s="75">
        <v>212</v>
      </c>
      <c r="F118" s="75">
        <v>26</v>
      </c>
    </row>
    <row r="119" spans="1:6" ht="12.75" customHeight="1" x14ac:dyDescent="0.2">
      <c r="A119" s="76" t="s">
        <v>125</v>
      </c>
      <c r="B119" s="74" t="s">
        <v>367</v>
      </c>
      <c r="C119" s="74" t="s">
        <v>368</v>
      </c>
      <c r="D119" s="69">
        <f t="shared" si="0"/>
        <v>0</v>
      </c>
      <c r="E119" s="75">
        <v>2147</v>
      </c>
      <c r="F119" s="75">
        <v>0</v>
      </c>
    </row>
    <row r="120" spans="1:6" ht="12.75" customHeight="1" x14ac:dyDescent="0.2">
      <c r="A120" s="76" t="s">
        <v>125</v>
      </c>
      <c r="B120" s="74" t="s">
        <v>369</v>
      </c>
      <c r="C120" s="74" t="s">
        <v>370</v>
      </c>
      <c r="D120" s="69">
        <f t="shared" si="0"/>
        <v>0</v>
      </c>
      <c r="E120" s="75">
        <v>6946</v>
      </c>
      <c r="F120" s="75">
        <v>0</v>
      </c>
    </row>
    <row r="121" spans="1:6" ht="12.75" customHeight="1" x14ac:dyDescent="0.2">
      <c r="A121" s="76" t="s">
        <v>125</v>
      </c>
      <c r="B121" s="74" t="s">
        <v>371</v>
      </c>
      <c r="C121" s="74" t="s">
        <v>372</v>
      </c>
      <c r="D121" s="69">
        <f t="shared" si="0"/>
        <v>3.2573289902280132E-3</v>
      </c>
      <c r="E121" s="75">
        <v>6447</v>
      </c>
      <c r="F121" s="75">
        <v>21</v>
      </c>
    </row>
    <row r="122" spans="1:6" ht="12.75" customHeight="1" x14ac:dyDescent="0.2">
      <c r="A122" s="76" t="s">
        <v>125</v>
      </c>
      <c r="B122" s="74" t="s">
        <v>373</v>
      </c>
      <c r="C122" s="74" t="s">
        <v>374</v>
      </c>
      <c r="D122" s="69">
        <f t="shared" si="0"/>
        <v>0.21568627450980393</v>
      </c>
      <c r="E122" s="75">
        <v>561</v>
      </c>
      <c r="F122" s="75">
        <v>121</v>
      </c>
    </row>
    <row r="123" spans="1:6" ht="12.75" customHeight="1" x14ac:dyDescent="0.2">
      <c r="A123" s="76" t="s">
        <v>125</v>
      </c>
      <c r="B123" s="74" t="s">
        <v>375</v>
      </c>
      <c r="C123" s="74" t="s">
        <v>376</v>
      </c>
      <c r="D123" s="69">
        <f t="shared" si="0"/>
        <v>0.33400204883045925</v>
      </c>
      <c r="E123" s="75">
        <v>23428</v>
      </c>
      <c r="F123" s="75">
        <v>7825</v>
      </c>
    </row>
    <row r="124" spans="1:6" ht="12.75" customHeight="1" x14ac:dyDescent="0.2">
      <c r="A124" s="76" t="s">
        <v>125</v>
      </c>
      <c r="B124" s="74" t="s">
        <v>377</v>
      </c>
      <c r="C124" s="74" t="s">
        <v>378</v>
      </c>
      <c r="D124" s="69">
        <f t="shared" si="0"/>
        <v>0</v>
      </c>
      <c r="E124" s="75">
        <v>1240</v>
      </c>
      <c r="F124" s="75">
        <v>0</v>
      </c>
    </row>
    <row r="125" spans="1:6" ht="12.75" customHeight="1" x14ac:dyDescent="0.2">
      <c r="A125" s="76" t="s">
        <v>125</v>
      </c>
      <c r="B125" s="74" t="s">
        <v>379</v>
      </c>
      <c r="C125" s="74" t="s">
        <v>380</v>
      </c>
      <c r="D125" s="69">
        <f t="shared" si="0"/>
        <v>0</v>
      </c>
      <c r="E125" s="75">
        <v>1141</v>
      </c>
      <c r="F125" s="75">
        <v>0</v>
      </c>
    </row>
    <row r="126" spans="1:6" ht="12.75" customHeight="1" x14ac:dyDescent="0.2">
      <c r="A126" s="76" t="s">
        <v>125</v>
      </c>
      <c r="B126" s="74" t="s">
        <v>381</v>
      </c>
      <c r="C126" s="74" t="s">
        <v>382</v>
      </c>
      <c r="D126" s="69">
        <f t="shared" si="0"/>
        <v>4.7816935614442224E-2</v>
      </c>
      <c r="E126" s="75">
        <v>18529</v>
      </c>
      <c r="F126" s="75">
        <v>886</v>
      </c>
    </row>
    <row r="127" spans="1:6" ht="12.75" customHeight="1" x14ac:dyDescent="0.2">
      <c r="A127" s="76" t="s">
        <v>125</v>
      </c>
      <c r="B127" s="74" t="s">
        <v>383</v>
      </c>
      <c r="C127" s="74" t="s">
        <v>384</v>
      </c>
      <c r="D127" s="69">
        <f t="shared" si="0"/>
        <v>0</v>
      </c>
      <c r="E127" s="75">
        <v>2264</v>
      </c>
      <c r="F127" s="75">
        <v>0</v>
      </c>
    </row>
    <row r="128" spans="1:6" ht="12.75" customHeight="1" x14ac:dyDescent="0.2">
      <c r="A128" s="76" t="s">
        <v>125</v>
      </c>
      <c r="B128" s="74" t="s">
        <v>385</v>
      </c>
      <c r="C128" s="74" t="s">
        <v>386</v>
      </c>
      <c r="D128" s="69">
        <f t="shared" si="0"/>
        <v>0</v>
      </c>
      <c r="E128" s="75">
        <v>2455</v>
      </c>
      <c r="F128" s="75">
        <v>0</v>
      </c>
    </row>
    <row r="129" spans="1:6" ht="12.75" customHeight="1" x14ac:dyDescent="0.2">
      <c r="A129" s="76" t="s">
        <v>125</v>
      </c>
      <c r="B129" s="74" t="s">
        <v>387</v>
      </c>
      <c r="C129" s="74" t="s">
        <v>388</v>
      </c>
      <c r="D129" s="69">
        <f t="shared" si="0"/>
        <v>2.652519893899204E-4</v>
      </c>
      <c r="E129" s="75">
        <v>3770</v>
      </c>
      <c r="F129" s="75">
        <v>1</v>
      </c>
    </row>
    <row r="130" spans="1:6" ht="12.75" customHeight="1" x14ac:dyDescent="0.2">
      <c r="A130" s="76" t="s">
        <v>125</v>
      </c>
      <c r="B130" s="74" t="s">
        <v>389</v>
      </c>
      <c r="C130" s="74" t="s">
        <v>390</v>
      </c>
      <c r="D130" s="69">
        <f t="shared" si="0"/>
        <v>3.27089995431704E-2</v>
      </c>
      <c r="E130" s="75">
        <v>10945</v>
      </c>
      <c r="F130" s="75">
        <v>358</v>
      </c>
    </row>
    <row r="131" spans="1:6" ht="12.75" customHeight="1" x14ac:dyDescent="0.2">
      <c r="A131" s="76" t="s">
        <v>125</v>
      </c>
      <c r="B131" s="74" t="s">
        <v>391</v>
      </c>
      <c r="C131" s="74" t="s">
        <v>392</v>
      </c>
      <c r="D131" s="69">
        <f t="shared" si="0"/>
        <v>0.64008565310492505</v>
      </c>
      <c r="E131" s="75">
        <v>11675</v>
      </c>
      <c r="F131" s="75">
        <v>7473</v>
      </c>
    </row>
    <row r="132" spans="1:6" ht="12.75" customHeight="1" x14ac:dyDescent="0.2">
      <c r="A132" s="76" t="s">
        <v>125</v>
      </c>
      <c r="B132" s="74" t="s">
        <v>393</v>
      </c>
      <c r="C132" s="74" t="s">
        <v>394</v>
      </c>
      <c r="D132" s="69">
        <f t="shared" si="0"/>
        <v>0</v>
      </c>
      <c r="E132" s="75">
        <v>116</v>
      </c>
      <c r="F132" s="75">
        <v>0</v>
      </c>
    </row>
    <row r="133" spans="1:6" ht="12.75" customHeight="1" x14ac:dyDescent="0.2">
      <c r="A133" s="76" t="s">
        <v>125</v>
      </c>
      <c r="B133" s="74" t="s">
        <v>395</v>
      </c>
      <c r="C133" s="74" t="s">
        <v>396</v>
      </c>
      <c r="D133" s="69">
        <f t="shared" si="0"/>
        <v>0.31822418292531379</v>
      </c>
      <c r="E133" s="75">
        <v>64376</v>
      </c>
      <c r="F133" s="75">
        <v>20486</v>
      </c>
    </row>
    <row r="134" spans="1:6" ht="12.75" customHeight="1" x14ac:dyDescent="0.2">
      <c r="A134" s="76" t="s">
        <v>125</v>
      </c>
      <c r="B134" s="74" t="s">
        <v>397</v>
      </c>
      <c r="C134" s="74" t="s">
        <v>398</v>
      </c>
      <c r="D134" s="69">
        <f t="shared" si="0"/>
        <v>0.19321391778272573</v>
      </c>
      <c r="E134" s="75">
        <v>30091</v>
      </c>
      <c r="F134" s="75">
        <v>5814</v>
      </c>
    </row>
    <row r="135" spans="1:6" ht="12.75" customHeight="1" x14ac:dyDescent="0.2">
      <c r="A135" s="76" t="s">
        <v>125</v>
      </c>
      <c r="B135" s="74" t="s">
        <v>399</v>
      </c>
      <c r="C135" s="74" t="s">
        <v>400</v>
      </c>
      <c r="D135" s="69">
        <f t="shared" si="0"/>
        <v>1.7018379850238256E-4</v>
      </c>
      <c r="E135" s="75">
        <v>11752</v>
      </c>
      <c r="F135" s="75">
        <v>2</v>
      </c>
    </row>
    <row r="136" spans="1:6" ht="12.75" customHeight="1" x14ac:dyDescent="0.2">
      <c r="A136" s="76" t="s">
        <v>125</v>
      </c>
      <c r="B136" s="74" t="s">
        <v>401</v>
      </c>
      <c r="C136" s="74" t="s">
        <v>402</v>
      </c>
      <c r="D136" s="69">
        <f t="shared" si="0"/>
        <v>0</v>
      </c>
      <c r="E136" s="75">
        <v>218</v>
      </c>
      <c r="F136" s="75">
        <v>0</v>
      </c>
    </row>
    <row r="137" spans="1:6" ht="12.75" customHeight="1" x14ac:dyDescent="0.2">
      <c r="A137" s="76" t="s">
        <v>125</v>
      </c>
      <c r="B137" s="74" t="s">
        <v>403</v>
      </c>
      <c r="C137" s="74" t="s">
        <v>404</v>
      </c>
      <c r="D137" s="69">
        <f t="shared" si="0"/>
        <v>0</v>
      </c>
      <c r="E137" s="75">
        <v>4625</v>
      </c>
      <c r="F137" s="75">
        <v>0</v>
      </c>
    </row>
    <row r="138" spans="1:6" ht="12.75" customHeight="1" x14ac:dyDescent="0.2">
      <c r="A138" s="76" t="s">
        <v>125</v>
      </c>
      <c r="B138" s="74" t="s">
        <v>405</v>
      </c>
      <c r="C138" s="74" t="s">
        <v>406</v>
      </c>
      <c r="D138" s="69">
        <f t="shared" si="0"/>
        <v>0.40639411515065782</v>
      </c>
      <c r="E138" s="75">
        <v>35345</v>
      </c>
      <c r="F138" s="75">
        <v>14364</v>
      </c>
    </row>
    <row r="139" spans="1:6" ht="12.75" customHeight="1" x14ac:dyDescent="0.2">
      <c r="A139" s="76" t="s">
        <v>125</v>
      </c>
      <c r="B139" s="74" t="s">
        <v>407</v>
      </c>
      <c r="C139" s="74" t="s">
        <v>408</v>
      </c>
      <c r="D139" s="69">
        <f t="shared" si="0"/>
        <v>0</v>
      </c>
      <c r="E139" s="75">
        <v>869</v>
      </c>
      <c r="F139" s="75">
        <v>0</v>
      </c>
    </row>
    <row r="140" spans="1:6" ht="12.75" customHeight="1" x14ac:dyDescent="0.2">
      <c r="A140" s="76" t="s">
        <v>125</v>
      </c>
      <c r="B140" s="74" t="s">
        <v>409</v>
      </c>
      <c r="C140" s="74" t="s">
        <v>410</v>
      </c>
      <c r="D140" s="69">
        <f t="shared" si="0"/>
        <v>0</v>
      </c>
      <c r="E140" s="75">
        <v>41</v>
      </c>
      <c r="F140" s="75">
        <v>0</v>
      </c>
    </row>
    <row r="141" spans="1:6" ht="12.75" customHeight="1" x14ac:dyDescent="0.2">
      <c r="A141" s="76" t="s">
        <v>125</v>
      </c>
      <c r="B141" s="74" t="s">
        <v>411</v>
      </c>
      <c r="C141" s="74" t="s">
        <v>412</v>
      </c>
      <c r="D141" s="69">
        <f t="shared" si="0"/>
        <v>0</v>
      </c>
      <c r="E141" s="75">
        <v>646</v>
      </c>
      <c r="F141" s="75">
        <v>0</v>
      </c>
    </row>
    <row r="142" spans="1:6" ht="12.75" customHeight="1" x14ac:dyDescent="0.2">
      <c r="A142" s="76" t="s">
        <v>125</v>
      </c>
      <c r="B142" s="74" t="s">
        <v>413</v>
      </c>
      <c r="C142" s="74" t="s">
        <v>414</v>
      </c>
      <c r="D142" s="69">
        <f t="shared" si="0"/>
        <v>0</v>
      </c>
      <c r="E142" s="75">
        <v>1945</v>
      </c>
      <c r="F142" s="75">
        <v>0</v>
      </c>
    </row>
    <row r="143" spans="1:6" ht="12.75" customHeight="1" x14ac:dyDescent="0.2">
      <c r="A143" s="76" t="s">
        <v>125</v>
      </c>
      <c r="B143" s="74" t="s">
        <v>415</v>
      </c>
      <c r="C143" s="74" t="s">
        <v>416</v>
      </c>
      <c r="D143" s="69">
        <f t="shared" si="0"/>
        <v>6.0019638327469108E-2</v>
      </c>
      <c r="E143" s="75">
        <v>24442</v>
      </c>
      <c r="F143" s="75">
        <v>1467</v>
      </c>
    </row>
    <row r="144" spans="1:6" ht="12.75" customHeight="1" x14ac:dyDescent="0.2">
      <c r="A144" s="76" t="s">
        <v>125</v>
      </c>
      <c r="B144" s="74" t="s">
        <v>417</v>
      </c>
      <c r="C144" s="74" t="s">
        <v>418</v>
      </c>
      <c r="D144" s="69">
        <f t="shared" si="0"/>
        <v>0</v>
      </c>
      <c r="E144" s="75">
        <v>6054</v>
      </c>
      <c r="F144" s="75">
        <v>0</v>
      </c>
    </row>
    <row r="145" spans="1:6" ht="12.75" customHeight="1" x14ac:dyDescent="0.2">
      <c r="A145" s="76" t="s">
        <v>125</v>
      </c>
      <c r="B145" s="74" t="s">
        <v>419</v>
      </c>
      <c r="C145" s="74" t="s">
        <v>420</v>
      </c>
      <c r="D145" s="69">
        <f t="shared" si="0"/>
        <v>0</v>
      </c>
      <c r="E145" s="75">
        <v>642</v>
      </c>
      <c r="F145" s="75">
        <v>0</v>
      </c>
    </row>
    <row r="146" spans="1:6" ht="12.75" customHeight="1" x14ac:dyDescent="0.2">
      <c r="A146" s="76" t="s">
        <v>125</v>
      </c>
      <c r="B146" s="74" t="s">
        <v>421</v>
      </c>
      <c r="C146" s="74" t="s">
        <v>422</v>
      </c>
      <c r="D146" s="69">
        <f t="shared" si="0"/>
        <v>0</v>
      </c>
      <c r="E146" s="75">
        <v>1906</v>
      </c>
      <c r="F146" s="75">
        <v>0</v>
      </c>
    </row>
    <row r="147" spans="1:6" ht="12.75" customHeight="1" x14ac:dyDescent="0.2">
      <c r="A147" s="76" t="s">
        <v>125</v>
      </c>
      <c r="B147" s="74" t="s">
        <v>423</v>
      </c>
      <c r="C147" s="74" t="s">
        <v>424</v>
      </c>
      <c r="D147" s="69">
        <f t="shared" si="0"/>
        <v>0</v>
      </c>
      <c r="E147" s="75">
        <v>4053</v>
      </c>
      <c r="F147" s="75">
        <v>0</v>
      </c>
    </row>
    <row r="148" spans="1:6" ht="12.75" customHeight="1" x14ac:dyDescent="0.2">
      <c r="A148" s="76" t="s">
        <v>125</v>
      </c>
      <c r="B148" s="74" t="s">
        <v>425</v>
      </c>
      <c r="C148" s="74" t="s">
        <v>426</v>
      </c>
      <c r="D148" s="69">
        <f t="shared" si="0"/>
        <v>1.5267175572519084E-3</v>
      </c>
      <c r="E148" s="75">
        <v>1310</v>
      </c>
      <c r="F148" s="75">
        <v>2</v>
      </c>
    </row>
    <row r="149" spans="1:6" ht="12.75" customHeight="1" x14ac:dyDescent="0.2">
      <c r="A149" s="76" t="s">
        <v>125</v>
      </c>
      <c r="B149" s="74" t="s">
        <v>427</v>
      </c>
      <c r="C149" s="74" t="s">
        <v>428</v>
      </c>
      <c r="D149" s="69">
        <f t="shared" si="0"/>
        <v>0</v>
      </c>
      <c r="E149" s="75">
        <v>105</v>
      </c>
      <c r="F149" s="75">
        <v>0</v>
      </c>
    </row>
    <row r="150" spans="1:6" ht="12.75" customHeight="1" x14ac:dyDescent="0.2">
      <c r="A150" s="76" t="s">
        <v>125</v>
      </c>
      <c r="B150" s="74" t="s">
        <v>429</v>
      </c>
      <c r="C150" s="74" t="s">
        <v>430</v>
      </c>
      <c r="D150" s="69">
        <f t="shared" si="0"/>
        <v>0</v>
      </c>
      <c r="E150" s="75">
        <v>194</v>
      </c>
      <c r="F150" s="75">
        <v>0</v>
      </c>
    </row>
    <row r="151" spans="1:6" ht="12.75" customHeight="1" x14ac:dyDescent="0.2">
      <c r="A151" s="76" t="s">
        <v>125</v>
      </c>
      <c r="B151" s="74" t="s">
        <v>431</v>
      </c>
      <c r="C151" s="74" t="s">
        <v>432</v>
      </c>
      <c r="D151" s="69">
        <f t="shared" si="0"/>
        <v>8.1743253923450374E-2</v>
      </c>
      <c r="E151" s="75">
        <v>8857</v>
      </c>
      <c r="F151" s="75">
        <v>724</v>
      </c>
    </row>
    <row r="152" spans="1:6" ht="12.75" customHeight="1" x14ac:dyDescent="0.2">
      <c r="A152" s="76" t="s">
        <v>125</v>
      </c>
      <c r="B152" s="74" t="s">
        <v>433</v>
      </c>
      <c r="C152" s="74" t="s">
        <v>434</v>
      </c>
      <c r="D152" s="69">
        <f t="shared" si="0"/>
        <v>2.3866348448687352E-3</v>
      </c>
      <c r="E152" s="75">
        <v>2514</v>
      </c>
      <c r="F152" s="75">
        <v>6</v>
      </c>
    </row>
    <row r="153" spans="1:6" ht="12.75" customHeight="1" x14ac:dyDescent="0.2">
      <c r="A153" s="76" t="s">
        <v>125</v>
      </c>
      <c r="B153" s="74" t="s">
        <v>435</v>
      </c>
      <c r="C153" s="74" t="s">
        <v>436</v>
      </c>
      <c r="D153" s="69">
        <f t="shared" si="0"/>
        <v>0.16252785737026423</v>
      </c>
      <c r="E153" s="75">
        <v>25128</v>
      </c>
      <c r="F153" s="75">
        <v>4084</v>
      </c>
    </row>
    <row r="154" spans="1:6" ht="12.75" customHeight="1" x14ac:dyDescent="0.2">
      <c r="A154" s="76" t="s">
        <v>125</v>
      </c>
      <c r="B154" s="74" t="s">
        <v>437</v>
      </c>
      <c r="C154" s="74" t="s">
        <v>438</v>
      </c>
      <c r="D154" s="69">
        <f t="shared" si="0"/>
        <v>0</v>
      </c>
      <c r="E154" s="75">
        <v>3</v>
      </c>
      <c r="F154" s="75">
        <v>0</v>
      </c>
    </row>
    <row r="155" spans="1:6" ht="12.75" customHeight="1" x14ac:dyDescent="0.2">
      <c r="A155" s="76" t="s">
        <v>125</v>
      </c>
      <c r="B155" s="74" t="s">
        <v>439</v>
      </c>
      <c r="C155" s="74" t="s">
        <v>440</v>
      </c>
      <c r="D155" s="69">
        <f t="shared" si="0"/>
        <v>0.21097384886892348</v>
      </c>
      <c r="E155" s="75">
        <v>12466</v>
      </c>
      <c r="F155" s="75">
        <v>2630</v>
      </c>
    </row>
    <row r="156" spans="1:6" ht="12.75" customHeight="1" x14ac:dyDescent="0.2">
      <c r="A156" s="76" t="s">
        <v>125</v>
      </c>
      <c r="B156" s="74" t="s">
        <v>441</v>
      </c>
      <c r="C156" s="74" t="s">
        <v>442</v>
      </c>
      <c r="D156" s="69">
        <f t="shared" si="0"/>
        <v>3.4274409154101168E-2</v>
      </c>
      <c r="E156" s="75">
        <v>93510</v>
      </c>
      <c r="F156" s="75">
        <v>3205</v>
      </c>
    </row>
    <row r="157" spans="1:6" ht="12.75" customHeight="1" x14ac:dyDescent="0.2">
      <c r="A157" s="76" t="s">
        <v>125</v>
      </c>
      <c r="B157" s="74" t="s">
        <v>443</v>
      </c>
      <c r="C157" s="74" t="s">
        <v>444</v>
      </c>
      <c r="D157" s="69">
        <f t="shared" si="0"/>
        <v>0.11398963730569948</v>
      </c>
      <c r="E157" s="75">
        <v>1930</v>
      </c>
      <c r="F157" s="75">
        <v>220</v>
      </c>
    </row>
    <row r="158" spans="1:6" ht="12.75" customHeight="1" x14ac:dyDescent="0.2">
      <c r="A158" s="76" t="s">
        <v>125</v>
      </c>
      <c r="B158" s="74" t="s">
        <v>445</v>
      </c>
      <c r="C158" s="74" t="s">
        <v>446</v>
      </c>
      <c r="D158" s="69">
        <f t="shared" si="0"/>
        <v>2.0904855415655925</v>
      </c>
      <c r="E158" s="75">
        <v>25971</v>
      </c>
      <c r="F158" s="75">
        <v>54292</v>
      </c>
    </row>
    <row r="159" spans="1:6" ht="12.75" customHeight="1" x14ac:dyDescent="0.2">
      <c r="A159" s="76" t="s">
        <v>125</v>
      </c>
      <c r="B159" s="74" t="s">
        <v>447</v>
      </c>
      <c r="C159" s="74" t="s">
        <v>448</v>
      </c>
      <c r="D159" s="69">
        <f t="shared" si="0"/>
        <v>0.30640335128665469</v>
      </c>
      <c r="E159" s="75">
        <v>13368</v>
      </c>
      <c r="F159" s="75">
        <v>4096</v>
      </c>
    </row>
    <row r="160" spans="1:6" ht="12.75" customHeight="1" x14ac:dyDescent="0.2">
      <c r="A160" s="76" t="s">
        <v>125</v>
      </c>
      <c r="B160" s="74" t="s">
        <v>449</v>
      </c>
      <c r="C160" s="74" t="s">
        <v>450</v>
      </c>
      <c r="D160" s="69">
        <f t="shared" si="0"/>
        <v>0.3487948314420608</v>
      </c>
      <c r="E160" s="75">
        <v>12073</v>
      </c>
      <c r="F160" s="75">
        <v>4211</v>
      </c>
    </row>
    <row r="161" spans="1:6" ht="12.75" customHeight="1" x14ac:dyDescent="0.2">
      <c r="A161" s="76" t="s">
        <v>125</v>
      </c>
      <c r="B161" s="74" t="s">
        <v>451</v>
      </c>
      <c r="C161" s="74" t="s">
        <v>452</v>
      </c>
      <c r="D161" s="69">
        <f t="shared" si="0"/>
        <v>0</v>
      </c>
      <c r="E161" s="75">
        <v>693</v>
      </c>
      <c r="F161" s="75">
        <v>0</v>
      </c>
    </row>
    <row r="162" spans="1:6" ht="12.75" customHeight="1" x14ac:dyDescent="0.2">
      <c r="A162" s="76" t="s">
        <v>125</v>
      </c>
      <c r="B162" s="74" t="s">
        <v>453</v>
      </c>
      <c r="C162" s="74" t="s">
        <v>454</v>
      </c>
      <c r="D162" s="69">
        <f t="shared" si="0"/>
        <v>0</v>
      </c>
      <c r="E162" s="75">
        <v>372</v>
      </c>
      <c r="F162" s="75">
        <v>0</v>
      </c>
    </row>
    <row r="163" spans="1:6" ht="12.75" customHeight="1" x14ac:dyDescent="0.2">
      <c r="A163" s="76" t="s">
        <v>125</v>
      </c>
      <c r="B163" s="74" t="s">
        <v>455</v>
      </c>
      <c r="C163" s="74" t="s">
        <v>456</v>
      </c>
      <c r="D163" s="69">
        <f t="shared" si="0"/>
        <v>0</v>
      </c>
      <c r="E163" s="75">
        <v>1991</v>
      </c>
      <c r="F163" s="75">
        <v>0</v>
      </c>
    </row>
    <row r="164" spans="1:6" ht="12.75" customHeight="1" x14ac:dyDescent="0.2">
      <c r="A164" s="76" t="s">
        <v>117</v>
      </c>
      <c r="B164" s="74" t="s">
        <v>457</v>
      </c>
      <c r="C164" s="74" t="s">
        <v>458</v>
      </c>
      <c r="D164" s="69">
        <f t="shared" si="0"/>
        <v>0.37049171869356584</v>
      </c>
      <c r="E164" s="75">
        <v>38762</v>
      </c>
      <c r="F164" s="75">
        <v>14361</v>
      </c>
    </row>
    <row r="165" spans="1:6" ht="12.75" customHeight="1" x14ac:dyDescent="0.2">
      <c r="A165" s="76" t="s">
        <v>127</v>
      </c>
      <c r="B165" s="74" t="s">
        <v>459</v>
      </c>
      <c r="C165" s="74" t="s">
        <v>460</v>
      </c>
      <c r="D165" s="69">
        <f t="shared" si="0"/>
        <v>7.2194561470700885E-2</v>
      </c>
      <c r="E165" s="75">
        <v>20888</v>
      </c>
      <c r="F165" s="75">
        <v>1508</v>
      </c>
    </row>
    <row r="166" spans="1:6" ht="12.75" customHeight="1" x14ac:dyDescent="0.2">
      <c r="A166" s="76" t="s">
        <v>115</v>
      </c>
      <c r="B166" s="74" t="s">
        <v>461</v>
      </c>
      <c r="C166" s="74" t="s">
        <v>462</v>
      </c>
      <c r="D166" s="69">
        <f t="shared" si="0"/>
        <v>7.7220077220077222E-3</v>
      </c>
      <c r="E166" s="75">
        <v>4144</v>
      </c>
      <c r="F166" s="75">
        <v>32</v>
      </c>
    </row>
    <row r="167" spans="1:6" ht="12.75" customHeight="1" x14ac:dyDescent="0.2">
      <c r="A167" s="76" t="s">
        <v>115</v>
      </c>
      <c r="B167" s="74" t="s">
        <v>463</v>
      </c>
      <c r="C167" s="74" t="s">
        <v>464</v>
      </c>
      <c r="D167" s="69">
        <f t="shared" si="0"/>
        <v>0.54965930208548419</v>
      </c>
      <c r="E167" s="75">
        <v>4843</v>
      </c>
      <c r="F167" s="75">
        <v>2662</v>
      </c>
    </row>
    <row r="168" spans="1:6" ht="12.75" customHeight="1" x14ac:dyDescent="0.2">
      <c r="A168" s="76" t="s">
        <v>115</v>
      </c>
      <c r="B168" s="74" t="s">
        <v>465</v>
      </c>
      <c r="C168" s="74" t="s">
        <v>466</v>
      </c>
      <c r="D168" s="69">
        <f t="shared" si="0"/>
        <v>0</v>
      </c>
      <c r="E168" s="75">
        <v>1537</v>
      </c>
      <c r="F168" s="75">
        <v>0</v>
      </c>
    </row>
    <row r="169" spans="1:6" ht="12.75" customHeight="1" x14ac:dyDescent="0.2">
      <c r="A169" s="76" t="s">
        <v>115</v>
      </c>
      <c r="B169" s="74" t="s">
        <v>467</v>
      </c>
      <c r="C169" s="74" t="s">
        <v>468</v>
      </c>
      <c r="D169" s="69">
        <f t="shared" si="0"/>
        <v>0</v>
      </c>
      <c r="E169" s="75">
        <v>3160</v>
      </c>
      <c r="F169" s="75">
        <v>0</v>
      </c>
    </row>
    <row r="170" spans="1:6" ht="12.75" customHeight="1" x14ac:dyDescent="0.2">
      <c r="A170" s="76" t="s">
        <v>115</v>
      </c>
      <c r="B170" s="74" t="s">
        <v>469</v>
      </c>
      <c r="C170" s="74" t="s">
        <v>470</v>
      </c>
      <c r="D170" s="69">
        <f t="shared" si="0"/>
        <v>8.4872690963554674E-3</v>
      </c>
      <c r="E170" s="75">
        <v>8012</v>
      </c>
      <c r="F170" s="75">
        <v>68</v>
      </c>
    </row>
    <row r="171" spans="1:6" ht="12.75" customHeight="1" x14ac:dyDescent="0.2">
      <c r="A171" s="76" t="s">
        <v>115</v>
      </c>
      <c r="B171" s="74" t="s">
        <v>471</v>
      </c>
      <c r="C171" s="74" t="s">
        <v>472</v>
      </c>
      <c r="D171" s="69">
        <f t="shared" si="0"/>
        <v>0.87303754266211608</v>
      </c>
      <c r="E171" s="75">
        <v>71785</v>
      </c>
      <c r="F171" s="75">
        <v>62671</v>
      </c>
    </row>
    <row r="172" spans="1:6" ht="12.75" customHeight="1" x14ac:dyDescent="0.2">
      <c r="A172" s="76" t="s">
        <v>131</v>
      </c>
      <c r="B172" s="74" t="s">
        <v>473</v>
      </c>
      <c r="C172" s="74" t="s">
        <v>474</v>
      </c>
      <c r="D172" s="69">
        <f t="shared" si="0"/>
        <v>0</v>
      </c>
      <c r="E172" s="75">
        <v>795</v>
      </c>
      <c r="F172" s="75">
        <v>0</v>
      </c>
    </row>
    <row r="173" spans="1:6" ht="12.75" customHeight="1" x14ac:dyDescent="0.2">
      <c r="A173" s="76" t="s">
        <v>131</v>
      </c>
      <c r="B173" s="74" t="s">
        <v>475</v>
      </c>
      <c r="C173" s="74" t="s">
        <v>476</v>
      </c>
      <c r="D173" s="69">
        <f t="shared" si="0"/>
        <v>0</v>
      </c>
      <c r="E173" s="75">
        <v>1897</v>
      </c>
      <c r="F173" s="75">
        <v>0</v>
      </c>
    </row>
    <row r="174" spans="1:6" ht="12.75" customHeight="1" x14ac:dyDescent="0.2">
      <c r="A174" s="76" t="s">
        <v>131</v>
      </c>
      <c r="B174" s="74" t="s">
        <v>477</v>
      </c>
      <c r="C174" s="74" t="s">
        <v>478</v>
      </c>
      <c r="D174" s="69">
        <f t="shared" si="0"/>
        <v>0</v>
      </c>
      <c r="E174" s="75">
        <v>642</v>
      </c>
      <c r="F174" s="75">
        <v>0</v>
      </c>
    </row>
    <row r="175" spans="1:6" ht="12.75" customHeight="1" x14ac:dyDescent="0.2">
      <c r="A175" s="76" t="s">
        <v>131</v>
      </c>
      <c r="B175" s="74" t="s">
        <v>479</v>
      </c>
      <c r="C175" s="74" t="s">
        <v>480</v>
      </c>
      <c r="D175" s="69">
        <f t="shared" si="0"/>
        <v>1.8617938235728711E-2</v>
      </c>
      <c r="E175" s="75">
        <v>20303</v>
      </c>
      <c r="F175" s="75">
        <v>378</v>
      </c>
    </row>
    <row r="176" spans="1:6" ht="12.75" customHeight="1" x14ac:dyDescent="0.2">
      <c r="A176" s="76" t="s">
        <v>131</v>
      </c>
      <c r="B176" s="74" t="s">
        <v>481</v>
      </c>
      <c r="C176" s="74" t="s">
        <v>482</v>
      </c>
      <c r="D176" s="69">
        <f t="shared" si="0"/>
        <v>0</v>
      </c>
      <c r="E176" s="75">
        <v>1633</v>
      </c>
      <c r="F176" s="75">
        <v>0</v>
      </c>
    </row>
    <row r="177" spans="1:6" ht="12.75" customHeight="1" x14ac:dyDescent="0.2">
      <c r="A177" s="76" t="s">
        <v>131</v>
      </c>
      <c r="B177" s="74" t="s">
        <v>483</v>
      </c>
      <c r="C177" s="74" t="s">
        <v>484</v>
      </c>
      <c r="D177" s="69">
        <f t="shared" si="0"/>
        <v>0.28362489245770001</v>
      </c>
      <c r="E177" s="75">
        <v>10461</v>
      </c>
      <c r="F177" s="75">
        <v>2967</v>
      </c>
    </row>
    <row r="178" spans="1:6" ht="12.75" customHeight="1" x14ac:dyDescent="0.2">
      <c r="A178" s="76" t="s">
        <v>131</v>
      </c>
      <c r="B178" s="74" t="s">
        <v>485</v>
      </c>
      <c r="C178" s="74" t="s">
        <v>486</v>
      </c>
      <c r="D178" s="69">
        <f t="shared" si="0"/>
        <v>0</v>
      </c>
      <c r="E178" s="75">
        <v>7993</v>
      </c>
      <c r="F178" s="75">
        <v>0</v>
      </c>
    </row>
    <row r="179" spans="1:6" ht="12.75" customHeight="1" x14ac:dyDescent="0.2">
      <c r="A179" s="76" t="s">
        <v>131</v>
      </c>
      <c r="B179" s="74" t="s">
        <v>487</v>
      </c>
      <c r="C179" s="74" t="s">
        <v>488</v>
      </c>
      <c r="D179" s="69">
        <f t="shared" si="0"/>
        <v>1.9611204796702266</v>
      </c>
      <c r="E179" s="75">
        <v>32022</v>
      </c>
      <c r="F179" s="75">
        <v>62799</v>
      </c>
    </row>
    <row r="180" spans="1:6" ht="12.75" customHeight="1" x14ac:dyDescent="0.2">
      <c r="A180" s="76" t="s">
        <v>131</v>
      </c>
      <c r="B180" s="74" t="s">
        <v>489</v>
      </c>
      <c r="C180" s="74" t="s">
        <v>490</v>
      </c>
      <c r="D180" s="69">
        <f t="shared" si="0"/>
        <v>0</v>
      </c>
      <c r="E180" s="75">
        <v>882</v>
      </c>
      <c r="F180" s="75">
        <v>0</v>
      </c>
    </row>
    <row r="181" spans="1:6" ht="12.75" customHeight="1" x14ac:dyDescent="0.2">
      <c r="A181" s="76" t="s">
        <v>131</v>
      </c>
      <c r="B181" s="74" t="s">
        <v>491</v>
      </c>
      <c r="C181" s="74" t="s">
        <v>492</v>
      </c>
      <c r="D181" s="69">
        <f t="shared" si="0"/>
        <v>3.1958043010429051</v>
      </c>
      <c r="E181" s="75">
        <v>66449</v>
      </c>
      <c r="F181" s="75">
        <v>212358</v>
      </c>
    </row>
    <row r="182" spans="1:6" ht="12.75" customHeight="1" x14ac:dyDescent="0.2">
      <c r="A182" s="76" t="s">
        <v>132</v>
      </c>
      <c r="B182" s="74" t="s">
        <v>493</v>
      </c>
      <c r="C182" s="74" t="s">
        <v>494</v>
      </c>
      <c r="D182" s="69">
        <f t="shared" si="0"/>
        <v>0</v>
      </c>
      <c r="E182" s="75">
        <v>1305</v>
      </c>
      <c r="F182" s="75">
        <v>0</v>
      </c>
    </row>
    <row r="183" spans="1:6" ht="12.75" customHeight="1" x14ac:dyDescent="0.2">
      <c r="A183" s="76" t="s">
        <v>132</v>
      </c>
      <c r="B183" s="74" t="s">
        <v>495</v>
      </c>
      <c r="C183" s="74" t="s">
        <v>496</v>
      </c>
      <c r="D183" s="69">
        <f t="shared" si="0"/>
        <v>0</v>
      </c>
      <c r="E183" s="75">
        <v>2312</v>
      </c>
      <c r="F183" s="75">
        <v>0</v>
      </c>
    </row>
    <row r="184" spans="1:6" ht="12.75" customHeight="1" x14ac:dyDescent="0.2">
      <c r="A184" s="76" t="s">
        <v>132</v>
      </c>
      <c r="B184" s="74" t="s">
        <v>497</v>
      </c>
      <c r="C184" s="74" t="s">
        <v>498</v>
      </c>
      <c r="D184" s="69">
        <f t="shared" si="0"/>
        <v>0</v>
      </c>
      <c r="E184" s="75">
        <v>1091</v>
      </c>
      <c r="F184" s="75">
        <v>0</v>
      </c>
    </row>
    <row r="185" spans="1:6" ht="12.75" customHeight="1" x14ac:dyDescent="0.2">
      <c r="A185" s="76" t="s">
        <v>132</v>
      </c>
      <c r="B185" s="74" t="s">
        <v>499</v>
      </c>
      <c r="C185" s="74" t="s">
        <v>500</v>
      </c>
      <c r="D185" s="69">
        <f t="shared" si="0"/>
        <v>0</v>
      </c>
      <c r="E185" s="75">
        <v>8123</v>
      </c>
      <c r="F185" s="75">
        <v>0</v>
      </c>
    </row>
    <row r="186" spans="1:6" ht="12.75" customHeight="1" x14ac:dyDescent="0.2">
      <c r="A186" s="76" t="s">
        <v>132</v>
      </c>
      <c r="B186" s="74" t="s">
        <v>501</v>
      </c>
      <c r="C186" s="74" t="s">
        <v>502</v>
      </c>
      <c r="D186" s="69">
        <f t="shared" si="0"/>
        <v>0</v>
      </c>
      <c r="E186" s="75">
        <v>1239</v>
      </c>
      <c r="F186" s="75">
        <v>0</v>
      </c>
    </row>
    <row r="187" spans="1:6" ht="12.75" customHeight="1" x14ac:dyDescent="0.2">
      <c r="A187" s="76" t="s">
        <v>132</v>
      </c>
      <c r="B187" s="74" t="s">
        <v>503</v>
      </c>
      <c r="C187" s="74" t="s">
        <v>504</v>
      </c>
      <c r="D187" s="69">
        <f t="shared" si="0"/>
        <v>0</v>
      </c>
      <c r="E187" s="75">
        <v>4766</v>
      </c>
      <c r="F187" s="75">
        <v>0</v>
      </c>
    </row>
    <row r="188" spans="1:6" ht="12.75" customHeight="1" x14ac:dyDescent="0.2">
      <c r="A188" s="76" t="s">
        <v>132</v>
      </c>
      <c r="B188" s="74" t="s">
        <v>505</v>
      </c>
      <c r="C188" s="74" t="s">
        <v>506</v>
      </c>
      <c r="D188" s="69">
        <f t="shared" si="0"/>
        <v>0.33480854878014621</v>
      </c>
      <c r="E188" s="75">
        <v>35701</v>
      </c>
      <c r="F188" s="75">
        <v>11953</v>
      </c>
    </row>
    <row r="189" spans="1:6" ht="12.75" customHeight="1" x14ac:dyDescent="0.2">
      <c r="A189" s="76" t="s">
        <v>132</v>
      </c>
      <c r="B189" s="74" t="s">
        <v>507</v>
      </c>
      <c r="C189" s="74" t="s">
        <v>508</v>
      </c>
      <c r="D189" s="69">
        <f t="shared" si="0"/>
        <v>0</v>
      </c>
      <c r="E189" s="75">
        <v>1518</v>
      </c>
      <c r="F189" s="75">
        <v>0</v>
      </c>
    </row>
    <row r="190" spans="1:6" ht="12.75" customHeight="1" x14ac:dyDescent="0.2">
      <c r="A190" s="76" t="s">
        <v>132</v>
      </c>
      <c r="B190" s="74" t="s">
        <v>509</v>
      </c>
      <c r="C190" s="74" t="s">
        <v>510</v>
      </c>
      <c r="D190" s="69">
        <f t="shared" si="0"/>
        <v>0</v>
      </c>
      <c r="E190" s="75">
        <v>1555</v>
      </c>
      <c r="F190" s="75">
        <v>0</v>
      </c>
    </row>
    <row r="191" spans="1:6" ht="12.75" customHeight="1" x14ac:dyDescent="0.2">
      <c r="A191" s="76" t="s">
        <v>132</v>
      </c>
      <c r="B191" s="74" t="s">
        <v>511</v>
      </c>
      <c r="C191" s="74" t="s">
        <v>512</v>
      </c>
      <c r="D191" s="69">
        <f t="shared" si="0"/>
        <v>0</v>
      </c>
      <c r="E191" s="75">
        <v>35</v>
      </c>
      <c r="F191" s="75">
        <v>0</v>
      </c>
    </row>
    <row r="192" spans="1:6" ht="12.75" customHeight="1" x14ac:dyDescent="0.2">
      <c r="A192" s="76" t="s">
        <v>132</v>
      </c>
      <c r="B192" s="74" t="s">
        <v>513</v>
      </c>
      <c r="C192" s="74" t="s">
        <v>514</v>
      </c>
      <c r="D192" s="69">
        <f t="shared" si="0"/>
        <v>0</v>
      </c>
      <c r="E192" s="75">
        <v>337</v>
      </c>
      <c r="F192" s="75">
        <v>0</v>
      </c>
    </row>
    <row r="193" spans="1:6" ht="12.75" customHeight="1" x14ac:dyDescent="0.2">
      <c r="A193" s="76" t="s">
        <v>135</v>
      </c>
      <c r="B193" s="74" t="s">
        <v>515</v>
      </c>
      <c r="C193" s="74" t="s">
        <v>516</v>
      </c>
      <c r="D193" s="69">
        <f t="shared" si="0"/>
        <v>0.91996370951836215</v>
      </c>
      <c r="E193" s="75">
        <v>50702</v>
      </c>
      <c r="F193" s="75">
        <v>46644</v>
      </c>
    </row>
    <row r="194" spans="1:6" ht="12.75" customHeight="1" x14ac:dyDescent="0.2">
      <c r="A194" s="76" t="s">
        <v>135</v>
      </c>
      <c r="B194" s="74" t="s">
        <v>517</v>
      </c>
      <c r="C194" s="74" t="s">
        <v>518</v>
      </c>
      <c r="D194" s="69">
        <f t="shared" si="0"/>
        <v>2.8292156580651069</v>
      </c>
      <c r="E194" s="75">
        <v>76459</v>
      </c>
      <c r="F194" s="75">
        <v>216319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519</v>
      </c>
      <c r="B1" s="78" t="s">
        <v>520</v>
      </c>
      <c r="C1" s="78" t="s">
        <v>521</v>
      </c>
      <c r="D1" s="77" t="s">
        <v>522</v>
      </c>
    </row>
    <row r="2" spans="1:4" ht="12.75" customHeight="1" x14ac:dyDescent="0.2">
      <c r="A2" s="79">
        <v>44211</v>
      </c>
      <c r="B2" s="80" t="s">
        <v>523</v>
      </c>
      <c r="C2" s="81">
        <v>2020</v>
      </c>
      <c r="D2" s="80" t="s">
        <v>524</v>
      </c>
    </row>
    <row r="3" spans="1:4" ht="12.75" customHeight="1" x14ac:dyDescent="0.2">
      <c r="A3" s="79">
        <v>44351</v>
      </c>
      <c r="B3" s="80" t="s">
        <v>525</v>
      </c>
      <c r="C3" s="81" t="s">
        <v>8</v>
      </c>
      <c r="D3" s="80" t="s">
        <v>526</v>
      </c>
    </row>
    <row r="4" spans="1:4" ht="12.75" customHeight="1" x14ac:dyDescent="0.2">
      <c r="A4" s="79">
        <v>44392</v>
      </c>
      <c r="B4" s="80" t="s">
        <v>527</v>
      </c>
      <c r="C4" s="81" t="s">
        <v>528</v>
      </c>
      <c r="D4" s="80" t="s">
        <v>529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2025-08-18T11:39:37Z</dcterms:modified>
</cp:coreProperties>
</file>